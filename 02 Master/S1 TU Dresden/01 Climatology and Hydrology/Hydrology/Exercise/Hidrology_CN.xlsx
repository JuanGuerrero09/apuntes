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ownloads\"/>
    </mc:Choice>
  </mc:AlternateContent>
  <xr:revisionPtr revIDLastSave="0" documentId="8_{FB74C233-1291-4121-A546-CE5349C7997F}" xr6:coauthVersionLast="47" xr6:coauthVersionMax="47" xr10:uidLastSave="{00000000-0000-0000-0000-000000000000}"/>
  <bookViews>
    <workbookView xWindow="1776" yWindow="1776" windowWidth="17280" windowHeight="8880" xr2:uid="{C55569CE-7C6A-4D9C-B9CD-764A77F69B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9" i="1"/>
  <c r="H13" i="1" s="1"/>
  <c r="E17" i="1"/>
  <c r="E18" i="1"/>
  <c r="E19" i="1"/>
  <c r="E20" i="1" s="1"/>
  <c r="E21" i="1" s="1"/>
  <c r="E22" i="1" s="1"/>
  <c r="E23" i="1" s="1"/>
  <c r="E24" i="1" s="1"/>
  <c r="E25" i="1" s="1"/>
  <c r="E26" i="1" s="1"/>
  <c r="E27" i="1" s="1"/>
  <c r="E16" i="1"/>
  <c r="E15" i="1"/>
  <c r="F5" i="1"/>
  <c r="F6" i="1"/>
  <c r="F7" i="1"/>
  <c r="F8" i="1"/>
  <c r="F4" i="1"/>
  <c r="D9" i="1"/>
</calcChain>
</file>

<file path=xl/sharedStrings.xml><?xml version="1.0" encoding="utf-8"?>
<sst xmlns="http://schemas.openxmlformats.org/spreadsheetml/2006/main" count="12" uniqueCount="11">
  <si>
    <t>Fallow bare soil</t>
  </si>
  <si>
    <t>Pasture (fair)</t>
  </si>
  <si>
    <t>Meadow</t>
  </si>
  <si>
    <t>Crops, forage crop</t>
  </si>
  <si>
    <t>Woofs (fair)</t>
  </si>
  <si>
    <t>CN</t>
  </si>
  <si>
    <t>CN%</t>
  </si>
  <si>
    <t>T</t>
  </si>
  <si>
    <t>Precipitation</t>
  </si>
  <si>
    <t>Cumulative precip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</si>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</sst>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90CA0-0625-43C7-B33C-05466DED988A}">
  <dimension ref="C3:H27"/>
  <sheetViews>
    <sheetView tabSelected="1" topLeftCell="A7" zoomScale="87" workbookViewId="0">
      <selection activeCell="F16" sqref="F16"/>
    </sheetView>
  </sheetViews>
  <sheetFormatPr baseColWidth="10" defaultRowHeight="14.4" x14ac:dyDescent="0.3"/>
  <sheetData>
    <row r="3" spans="3:8" x14ac:dyDescent="0.3">
      <c r="E3" t="s">
        <v>5</v>
      </c>
      <c r="F3" t="s">
        <v>6</v>
      </c>
    </row>
    <row r="4" spans="3:8" x14ac:dyDescent="0.3">
      <c r="C4" t="s">
        <v>1</v>
      </c>
      <c r="D4">
        <v>0.4</v>
      </c>
      <c r="E4">
        <v>69</v>
      </c>
      <c r="F4">
        <f>E4*D4</f>
        <v>27.6</v>
      </c>
    </row>
    <row r="5" spans="3:8" x14ac:dyDescent="0.3">
      <c r="C5" t="s">
        <v>0</v>
      </c>
      <c r="D5">
        <v>0.3</v>
      </c>
      <c r="E5">
        <v>86</v>
      </c>
      <c r="F5">
        <f t="shared" ref="F5:F8" si="0">E5*D5</f>
        <v>25.8</v>
      </c>
    </row>
    <row r="6" spans="3:8" x14ac:dyDescent="0.3">
      <c r="C6" t="s">
        <v>2</v>
      </c>
      <c r="D6">
        <v>0.2</v>
      </c>
      <c r="E6">
        <v>58</v>
      </c>
      <c r="F6">
        <f t="shared" si="0"/>
        <v>11.600000000000001</v>
      </c>
    </row>
    <row r="7" spans="3:8" x14ac:dyDescent="0.3">
      <c r="C7" t="s">
        <v>3</v>
      </c>
      <c r="D7">
        <v>0.05</v>
      </c>
      <c r="E7">
        <v>76</v>
      </c>
      <c r="F7">
        <f t="shared" si="0"/>
        <v>3.8000000000000003</v>
      </c>
    </row>
    <row r="8" spans="3:8" x14ac:dyDescent="0.3">
      <c r="C8" t="s">
        <v>4</v>
      </c>
      <c r="D8">
        <v>0.05</v>
      </c>
      <c r="E8">
        <v>60</v>
      </c>
      <c r="F8">
        <f t="shared" si="0"/>
        <v>3</v>
      </c>
    </row>
    <row r="9" spans="3:8" x14ac:dyDescent="0.3">
      <c r="D9">
        <f>SUM(D4:D8)</f>
        <v>1</v>
      </c>
      <c r="E9" t="s">
        <v>5</v>
      </c>
      <c r="F9">
        <f>ROUNDUP(SUM(F4:F8),0)</f>
        <v>72</v>
      </c>
    </row>
    <row r="13" spans="3:8" x14ac:dyDescent="0.3">
      <c r="G13" t="s">
        <v>10</v>
      </c>
      <c r="H13">
        <f>254*(100/F9 -1)</f>
        <v>98.777777777777771</v>
      </c>
    </row>
    <row r="14" spans="3:8" x14ac:dyDescent="0.3">
      <c r="C14" t="s">
        <v>7</v>
      </c>
      <c r="D14" t="s">
        <v>8</v>
      </c>
      <c r="E14" t="s">
        <v>9</v>
      </c>
    </row>
    <row r="15" spans="3:8" x14ac:dyDescent="0.3">
      <c r="C15" s="1">
        <v>0.77083333333333337</v>
      </c>
      <c r="D15">
        <v>0</v>
      </c>
      <c r="E15">
        <f>D15</f>
        <v>0</v>
      </c>
      <c r="F15">
        <f>ABS(D15-(0.2*$H$13))^2/ABS(D15-(0.8*$H$13))</f>
        <v>4.9388888888888891</v>
      </c>
    </row>
    <row r="16" spans="3:8" x14ac:dyDescent="0.3">
      <c r="C16" s="1">
        <v>0.79166666666666663</v>
      </c>
      <c r="D16">
        <v>0</v>
      </c>
      <c r="E16">
        <f>SUM(D16+E15)</f>
        <v>0</v>
      </c>
    </row>
    <row r="17" spans="3:5" x14ac:dyDescent="0.3">
      <c r="C17" s="1">
        <v>0.8125</v>
      </c>
      <c r="D17">
        <v>0.6</v>
      </c>
      <c r="E17">
        <f t="shared" ref="E17:E27" si="1">SUM(D17+E16)</f>
        <v>0.6</v>
      </c>
    </row>
    <row r="18" spans="3:5" x14ac:dyDescent="0.3">
      <c r="C18" s="1">
        <v>0.83333333333333304</v>
      </c>
      <c r="D18">
        <v>4.2</v>
      </c>
      <c r="E18">
        <f t="shared" si="1"/>
        <v>4.8</v>
      </c>
    </row>
    <row r="19" spans="3:5" x14ac:dyDescent="0.3">
      <c r="C19" s="1">
        <v>0.85416666666666596</v>
      </c>
      <c r="D19">
        <v>7.7</v>
      </c>
      <c r="E19">
        <f t="shared" si="1"/>
        <v>12.5</v>
      </c>
    </row>
    <row r="20" spans="3:5" x14ac:dyDescent="0.3">
      <c r="C20" s="1">
        <v>0.874999999999999</v>
      </c>
      <c r="D20">
        <v>5.3</v>
      </c>
      <c r="E20">
        <f t="shared" si="1"/>
        <v>17.8</v>
      </c>
    </row>
    <row r="21" spans="3:5" x14ac:dyDescent="0.3">
      <c r="C21" s="1">
        <v>0.89583333333333304</v>
      </c>
      <c r="D21">
        <v>4</v>
      </c>
      <c r="E21">
        <f t="shared" si="1"/>
        <v>21.8</v>
      </c>
    </row>
    <row r="22" spans="3:5" x14ac:dyDescent="0.3">
      <c r="C22" s="1">
        <v>0.91666666666666596</v>
      </c>
      <c r="D22">
        <v>2.7</v>
      </c>
      <c r="E22">
        <f t="shared" si="1"/>
        <v>24.5</v>
      </c>
    </row>
    <row r="23" spans="3:5" x14ac:dyDescent="0.3">
      <c r="C23" s="1">
        <v>0.937499999999999</v>
      </c>
      <c r="D23">
        <v>1.2</v>
      </c>
      <c r="E23">
        <f t="shared" si="1"/>
        <v>25.7</v>
      </c>
    </row>
    <row r="24" spans="3:5" x14ac:dyDescent="0.3">
      <c r="C24" s="1">
        <v>0.95833333333333204</v>
      </c>
      <c r="D24">
        <v>0.7</v>
      </c>
      <c r="E24">
        <f t="shared" si="1"/>
        <v>26.4</v>
      </c>
    </row>
    <row r="25" spans="3:5" x14ac:dyDescent="0.3">
      <c r="C25" s="1">
        <v>0.97916666666666596</v>
      </c>
      <c r="D25">
        <v>0</v>
      </c>
      <c r="E25">
        <f t="shared" si="1"/>
        <v>26.4</v>
      </c>
    </row>
    <row r="26" spans="3:5" x14ac:dyDescent="0.3">
      <c r="C26" s="1">
        <v>0.999999999999999</v>
      </c>
      <c r="D26">
        <v>0</v>
      </c>
      <c r="E26">
        <f t="shared" si="1"/>
        <v>26.4</v>
      </c>
    </row>
    <row r="27" spans="3:5" x14ac:dyDescent="0.3">
      <c r="C27" s="1">
        <v>1.0208333333333299</v>
      </c>
      <c r="D27">
        <v>0</v>
      </c>
      <c r="E27">
        <f t="shared" si="1"/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49717116, 05e9d25e</dc:creator>
  <cp:lastModifiedBy>49717116, 05e9d25e</cp:lastModifiedBy>
  <dcterms:created xsi:type="dcterms:W3CDTF">2026-01-26T11:16:00Z</dcterms:created>
  <dcterms:modified xsi:type="dcterms:W3CDTF">2026-01-29T09:26:32Z</dcterms:modified>
</cp:coreProperties>
</file>