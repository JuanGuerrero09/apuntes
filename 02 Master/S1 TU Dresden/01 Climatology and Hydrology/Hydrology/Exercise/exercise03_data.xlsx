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an\Documents\Obsidian Vault\Apuntes\02 Master\S1 TU Dresden\01 Climatology and Hydrology\Hydrology\Exercise\"/>
    </mc:Choice>
  </mc:AlternateContent>
  <xr:revisionPtr revIDLastSave="0" documentId="13_ncr:1_{DFB7AA8C-8C6C-4270-A51E-C32C675E0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P13" i="1"/>
  <c r="P14" i="1"/>
  <c r="P15" i="1"/>
  <c r="P12" i="1"/>
  <c r="O13" i="1"/>
  <c r="O14" i="1"/>
  <c r="O15" i="1"/>
  <c r="O12" i="1"/>
  <c r="N13" i="1"/>
  <c r="N14" i="1"/>
  <c r="N15" i="1"/>
  <c r="N12" i="1"/>
  <c r="M13" i="1"/>
  <c r="M14" i="1"/>
  <c r="M15" i="1"/>
  <c r="M12" i="1"/>
  <c r="L15" i="1"/>
  <c r="L14" i="1"/>
  <c r="L13" i="1"/>
  <c r="L12" i="1"/>
  <c r="L5" i="1"/>
  <c r="L6" i="1"/>
  <c r="L7" i="1"/>
  <c r="L4" i="1"/>
  <c r="I36" i="1"/>
  <c r="H38" i="1"/>
  <c r="G38" i="1"/>
  <c r="F38" i="1"/>
  <c r="E38" i="1"/>
  <c r="I37" i="1"/>
  <c r="I38" i="1" s="1"/>
  <c r="D37" i="1"/>
  <c r="E37" i="1"/>
  <c r="F37" i="1"/>
  <c r="G37" i="1"/>
  <c r="H37" i="1"/>
  <c r="D36" i="1"/>
  <c r="E36" i="1"/>
  <c r="F36" i="1"/>
  <c r="G36" i="1"/>
  <c r="H36" i="1"/>
  <c r="K34" i="1"/>
  <c r="D38" i="1"/>
  <c r="E35" i="1"/>
  <c r="F35" i="1"/>
  <c r="G35" i="1"/>
  <c r="H35" i="1"/>
  <c r="D35" i="1"/>
</calcChain>
</file>

<file path=xl/sharedStrings.xml><?xml version="1.0" encoding="utf-8"?>
<sst xmlns="http://schemas.openxmlformats.org/spreadsheetml/2006/main" count="13" uniqueCount="12">
  <si>
    <t>Year</t>
  </si>
  <si>
    <t>1 hr</t>
  </si>
  <si>
    <t>3 hrs</t>
  </si>
  <si>
    <t>6 hrs</t>
  </si>
  <si>
    <t>12 hrs</t>
  </si>
  <si>
    <t>24 hrs</t>
  </si>
  <si>
    <t>Empirical Mean</t>
  </si>
  <si>
    <t>Std</t>
  </si>
  <si>
    <t>alpha</t>
  </si>
  <si>
    <t>u</t>
  </si>
  <si>
    <t> Euler-Mascheroni 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</si>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</sst>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RP: 2y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Sheet1!$K$17:$K$22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Sheet1!$L$17:$L$22</c:f>
              <c:numCache>
                <c:formatCode>General</c:formatCode>
                <c:ptCount val="6"/>
                <c:pt idx="0">
                  <c:v>0</c:v>
                </c:pt>
                <c:pt idx="1">
                  <c:v>12.930027872541011</c:v>
                </c:pt>
                <c:pt idx="2">
                  <c:v>22.867434708022397</c:v>
                </c:pt>
                <c:pt idx="3">
                  <c:v>32.328033786506744</c:v>
                </c:pt>
                <c:pt idx="4">
                  <c:v>45.626339124795912</c:v>
                </c:pt>
                <c:pt idx="5">
                  <c:v>59.101273187187743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F7-4824-A2CC-7CD6EAAE3DE0}"/>
            </c:ext>
          </c:extLst>
        </c:ser>
        <c:ser>
          <c:idx val="1"/>
          <c:order val="1"/>
          <c:tx>
            <c:v>RP: 10y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Sheet1!$K$17:$K$22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Sheet1!$M$17:$M$22</c:f>
              <c:numCache>
                <c:formatCode>General</c:formatCode>
                <c:ptCount val="6"/>
                <c:pt idx="0">
                  <c:v>0</c:v>
                </c:pt>
                <c:pt idx="1">
                  <c:v>21.364575231177795</c:v>
                </c:pt>
                <c:pt idx="2">
                  <c:v>33.202879696095721</c:v>
                </c:pt>
                <c:pt idx="3">
                  <c:v>42.687927060923094</c:v>
                </c:pt>
                <c:pt idx="4">
                  <c:v>59.54817243847306</c:v>
                </c:pt>
                <c:pt idx="5">
                  <c:v>85.765305756067249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F7-4824-A2CC-7CD6EAAE3DE0}"/>
            </c:ext>
          </c:extLst>
        </c:ser>
        <c:ser>
          <c:idx val="2"/>
          <c:order val="2"/>
          <c:tx>
            <c:v>RP: 50y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Sheet1!$K$17:$K$22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Sheet1!$N$17:$N$22</c:f>
              <c:numCache>
                <c:formatCode>General</c:formatCode>
                <c:ptCount val="6"/>
                <c:pt idx="0">
                  <c:v>0</c:v>
                </c:pt>
                <c:pt idx="1">
                  <c:v>28.759125762545104</c:v>
                </c:pt>
                <c:pt idx="2">
                  <c:v>42.263943316802845</c:v>
                </c:pt>
                <c:pt idx="3">
                  <c:v>51.770424444591285</c:v>
                </c:pt>
                <c:pt idx="4">
                  <c:v>71.753415417142733</c:v>
                </c:pt>
                <c:pt idx="5">
                  <c:v>109.14160893121121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F7-4824-A2CC-7CD6EAAE3DE0}"/>
            </c:ext>
          </c:extLst>
        </c:ser>
        <c:ser>
          <c:idx val="3"/>
          <c:order val="3"/>
          <c:tx>
            <c:v>RP: 100y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Sheet1!$K$17:$K$22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24</c:v>
                </c:pt>
              </c:numCache>
            </c:numRef>
          </c:xVal>
          <c:yVal>
            <c:numRef>
              <c:f>Sheet1!$O$17:$O$22</c:f>
              <c:numCache>
                <c:formatCode>General</c:formatCode>
                <c:ptCount val="6"/>
                <c:pt idx="0">
                  <c:v>0</c:v>
                </c:pt>
                <c:pt idx="1">
                  <c:v>31.885211349704598</c:v>
                </c:pt>
                <c:pt idx="2">
                  <c:v>46.094556180812873</c:v>
                </c:pt>
                <c:pt idx="3">
                  <c:v>55.610098545952646</c:v>
                </c:pt>
                <c:pt idx="4">
                  <c:v>76.913246836449275</c:v>
                </c:pt>
                <c:pt idx="5">
                  <c:v>119.02406549525823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F7-4824-A2CC-7CD6EAAE3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837919"/>
        <c:axId val="1695832639"/>
      </c:scatterChart>
      <c:valAx>
        <c:axId val="1695837919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5832639"/>
        <c:crosses val="autoZero"/>
        <c:crossBetween val="midCat"/>
      </c:valAx>
      <c:valAx>
        <c:axId val="169583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5837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9</xdr:row>
      <xdr:rowOff>125730</xdr:rowOff>
    </xdr:from>
    <xdr:to>
      <xdr:col>23</xdr:col>
      <xdr:colOff>99060</xdr:colOff>
      <xdr:row>28</xdr:row>
      <xdr:rowOff>106680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092091-ECED-A5F6-C4B7-50F0C3EF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38"/>
  <sheetViews>
    <sheetView tabSelected="1" topLeftCell="C10" workbookViewId="0">
      <selection activeCell="N26" sqref="N26"/>
    </sheetView>
  </sheetViews>
  <sheetFormatPr baseColWidth="10" defaultColWidth="8.88671875" defaultRowHeight="14.4" x14ac:dyDescent="0.3"/>
  <sheetData>
    <row r="2" spans="3:16" ht="15" thickBot="1" x14ac:dyDescent="0.35"/>
    <row r="3" spans="3:16" ht="15" thickBot="1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K3" s="4" t="s">
        <v>11</v>
      </c>
    </row>
    <row r="4" spans="3:16" ht="15" thickBot="1" x14ac:dyDescent="0.35">
      <c r="C4" s="2">
        <v>1988</v>
      </c>
      <c r="D4" s="2">
        <v>13.8</v>
      </c>
      <c r="E4" s="2">
        <v>24.9</v>
      </c>
      <c r="F4" s="2">
        <v>35.9</v>
      </c>
      <c r="G4" s="2">
        <v>48.8</v>
      </c>
      <c r="H4" s="2">
        <v>62.2</v>
      </c>
      <c r="K4" s="5">
        <v>2</v>
      </c>
      <c r="L4">
        <f>$I$38+($I$37*(-LN(-LN((K4-1)/K4))))</f>
        <v>13.130934176480281</v>
      </c>
    </row>
    <row r="5" spans="3:16" ht="15" thickBot="1" x14ac:dyDescent="0.35">
      <c r="C5" s="2">
        <v>1989</v>
      </c>
      <c r="D5" s="2">
        <v>17.600000000000001</v>
      </c>
      <c r="E5" s="2">
        <v>28.4</v>
      </c>
      <c r="F5" s="2">
        <v>40</v>
      </c>
      <c r="G5" s="2">
        <v>56.4</v>
      </c>
      <c r="H5" s="2">
        <v>85</v>
      </c>
      <c r="K5" s="5">
        <v>10</v>
      </c>
      <c r="L5">
        <f t="shared" ref="L5:L7" si="0">$I$38+($I$37*(-LN(-LN((K5-1)/K5))))</f>
        <v>21.79581731544576</v>
      </c>
    </row>
    <row r="6" spans="3:16" ht="15" thickBot="1" x14ac:dyDescent="0.35">
      <c r="C6" s="2">
        <v>1990</v>
      </c>
      <c r="D6" s="2">
        <v>9.4</v>
      </c>
      <c r="E6" s="2">
        <v>18</v>
      </c>
      <c r="F6" s="2">
        <v>25.7</v>
      </c>
      <c r="G6" s="2">
        <v>38.1</v>
      </c>
      <c r="H6" s="2">
        <v>45</v>
      </c>
      <c r="K6" s="5">
        <v>50</v>
      </c>
      <c r="L6">
        <f t="shared" si="0"/>
        <v>29.392302757413614</v>
      </c>
    </row>
    <row r="7" spans="3:16" ht="15" thickBot="1" x14ac:dyDescent="0.35">
      <c r="C7" s="2">
        <v>1991</v>
      </c>
      <c r="D7" s="2">
        <v>8</v>
      </c>
      <c r="E7" s="2">
        <v>15.4</v>
      </c>
      <c r="F7" s="2">
        <v>21.8</v>
      </c>
      <c r="G7" s="2">
        <v>34</v>
      </c>
      <c r="H7" s="2">
        <v>36.6</v>
      </c>
      <c r="K7" s="5">
        <v>100</v>
      </c>
      <c r="L7">
        <f t="shared" si="0"/>
        <v>32.603757402624026</v>
      </c>
    </row>
    <row r="8" spans="3:16" ht="15" thickBot="1" x14ac:dyDescent="0.35">
      <c r="C8" s="2">
        <v>1992</v>
      </c>
      <c r="D8" s="2">
        <v>12</v>
      </c>
      <c r="E8" s="2">
        <v>21.7</v>
      </c>
      <c r="F8" s="2">
        <v>31.9</v>
      </c>
      <c r="G8" s="2">
        <v>46.8</v>
      </c>
      <c r="H8" s="2">
        <v>56.9</v>
      </c>
    </row>
    <row r="9" spans="3:16" ht="15" thickBot="1" x14ac:dyDescent="0.35">
      <c r="C9" s="2">
        <v>1993</v>
      </c>
      <c r="D9" s="2">
        <v>12</v>
      </c>
      <c r="E9" s="2">
        <v>22.3</v>
      </c>
      <c r="F9" s="2">
        <v>32.4</v>
      </c>
      <c r="G9" s="2">
        <v>46.9</v>
      </c>
      <c r="H9" s="2">
        <v>57.4</v>
      </c>
    </row>
    <row r="10" spans="3:16" ht="15" thickBot="1" x14ac:dyDescent="0.35">
      <c r="C10" s="2">
        <v>1994</v>
      </c>
      <c r="D10" s="2">
        <v>9.1</v>
      </c>
      <c r="E10" s="2">
        <v>18</v>
      </c>
      <c r="F10" s="2">
        <v>25.7</v>
      </c>
      <c r="G10" s="2">
        <v>37.799999999999997</v>
      </c>
      <c r="H10" s="2">
        <v>44.4</v>
      </c>
    </row>
    <row r="11" spans="3:16" ht="15" thickBot="1" x14ac:dyDescent="0.35">
      <c r="C11" s="2">
        <v>1995</v>
      </c>
      <c r="D11" s="2">
        <v>13.2</v>
      </c>
      <c r="E11" s="2">
        <v>23.7</v>
      </c>
      <c r="F11" s="2">
        <v>33</v>
      </c>
      <c r="G11" s="2">
        <v>48.2</v>
      </c>
      <c r="H11" s="2">
        <v>61.6</v>
      </c>
      <c r="K11" s="4" t="s">
        <v>11</v>
      </c>
      <c r="L11" s="1">
        <v>1</v>
      </c>
      <c r="M11" s="1">
        <v>3</v>
      </c>
      <c r="N11" s="1">
        <v>6</v>
      </c>
      <c r="O11" s="1">
        <v>12</v>
      </c>
      <c r="P11" s="1">
        <v>24</v>
      </c>
    </row>
    <row r="12" spans="3:16" ht="15" thickBot="1" x14ac:dyDescent="0.35">
      <c r="C12" s="2">
        <v>1996</v>
      </c>
      <c r="D12" s="2">
        <v>18.899999999999999</v>
      </c>
      <c r="E12" s="2">
        <v>29.4</v>
      </c>
      <c r="F12" s="2">
        <v>41.5</v>
      </c>
      <c r="G12" s="2">
        <v>57.9</v>
      </c>
      <c r="H12" s="2">
        <v>85.3</v>
      </c>
      <c r="K12" s="5">
        <v>2</v>
      </c>
      <c r="L12">
        <f>$D$38+($D$37*(-LN(-LN(($K$12-1)/$K$12))))</f>
        <v>12.930027872541011</v>
      </c>
      <c r="M12">
        <f>$E$38+($E$37*(-LN(-LN(($K12-1)/$K12))))</f>
        <v>22.867434708022397</v>
      </c>
      <c r="N12">
        <f>$F$38+($F$37*(-LN(-LN(($K12-1)/$K12))))</f>
        <v>32.328033786506744</v>
      </c>
      <c r="O12">
        <f>$G$38+($G$37*(-LN(-LN(($K12-1)/$K12))))</f>
        <v>45.626339124795912</v>
      </c>
      <c r="P12">
        <f>$H$38+($H$37*(-LN(-LN(($K12-1)/$K12))))</f>
        <v>59.101273187187743</v>
      </c>
    </row>
    <row r="13" spans="3:16" ht="15" thickBot="1" x14ac:dyDescent="0.35">
      <c r="C13" s="2">
        <v>1997</v>
      </c>
      <c r="D13" s="2">
        <v>14.8</v>
      </c>
      <c r="E13" s="2">
        <v>25.2</v>
      </c>
      <c r="F13" s="2">
        <v>37.6</v>
      </c>
      <c r="G13" s="2">
        <v>50.3</v>
      </c>
      <c r="H13" s="2">
        <v>67.3</v>
      </c>
      <c r="K13" s="5">
        <v>10</v>
      </c>
      <c r="L13">
        <f>$D$38+($D$37*(-LN(-LN(($K$13-1)/$K$13))))</f>
        <v>21.364575231177795</v>
      </c>
      <c r="M13">
        <f t="shared" ref="M13:O15" si="1">$E$38+($E$37*(-LN(-LN(($K13-1)/$K13))))</f>
        <v>33.202879696095721</v>
      </c>
      <c r="N13">
        <f t="shared" ref="N13:N15" si="2">$F$38+($F$37*(-LN(-LN(($K13-1)/$K13))))</f>
        <v>42.687927060923094</v>
      </c>
      <c r="O13">
        <f t="shared" ref="O13:P15" si="3">$G$38+($G$37*(-LN(-LN(($K13-1)/$K13))))</f>
        <v>59.54817243847306</v>
      </c>
      <c r="P13">
        <f t="shared" ref="P13:P15" si="4">$H$38+($H$37*(-LN(-LN(($K13-1)/$K13))))</f>
        <v>85.765305756067249</v>
      </c>
    </row>
    <row r="14" spans="3:16" ht="15" thickBot="1" x14ac:dyDescent="0.35">
      <c r="C14" s="2">
        <v>1998</v>
      </c>
      <c r="D14" s="2">
        <v>19.600000000000001</v>
      </c>
      <c r="E14" s="2">
        <v>35.799999999999997</v>
      </c>
      <c r="F14" s="2">
        <v>41.7</v>
      </c>
      <c r="G14" s="2">
        <v>58</v>
      </c>
      <c r="H14" s="2">
        <v>92.6</v>
      </c>
      <c r="K14" s="5">
        <v>50</v>
      </c>
      <c r="L14">
        <f>$D$38+($D$37*(-LN(-LN(($K$14-1)/$K$14))))</f>
        <v>28.759125762545104</v>
      </c>
      <c r="M14">
        <f t="shared" si="1"/>
        <v>42.263943316802845</v>
      </c>
      <c r="N14">
        <f t="shared" si="2"/>
        <v>51.770424444591285</v>
      </c>
      <c r="O14">
        <f t="shared" si="3"/>
        <v>71.753415417142733</v>
      </c>
      <c r="P14">
        <f t="shared" si="4"/>
        <v>109.14160893121121</v>
      </c>
    </row>
    <row r="15" spans="3:16" ht="15" thickBot="1" x14ac:dyDescent="0.35">
      <c r="C15" s="2">
        <v>1999</v>
      </c>
      <c r="D15" s="2">
        <v>15.4</v>
      </c>
      <c r="E15" s="2">
        <v>25.4</v>
      </c>
      <c r="F15" s="2">
        <v>37.799999999999997</v>
      </c>
      <c r="G15" s="2">
        <v>51.3</v>
      </c>
      <c r="H15" s="2">
        <v>68.5</v>
      </c>
      <c r="K15" s="5">
        <v>100</v>
      </c>
      <c r="L15">
        <f>$D$38+($D$37*(-LN(-LN(($K$15-1)/$K$15))))</f>
        <v>31.885211349704598</v>
      </c>
      <c r="M15">
        <f t="shared" si="1"/>
        <v>46.094556180812873</v>
      </c>
      <c r="N15">
        <f t="shared" si="2"/>
        <v>55.610098545952646</v>
      </c>
      <c r="O15">
        <f t="shared" si="3"/>
        <v>76.913246836449275</v>
      </c>
      <c r="P15">
        <f t="shared" si="4"/>
        <v>119.02406549525823</v>
      </c>
    </row>
    <row r="16" spans="3:16" ht="15" thickBot="1" x14ac:dyDescent="0.35">
      <c r="C16" s="2">
        <v>2000</v>
      </c>
      <c r="D16" s="2">
        <v>10.6</v>
      </c>
      <c r="E16" s="2">
        <v>21.3</v>
      </c>
      <c r="F16" s="2">
        <v>30.7</v>
      </c>
      <c r="G16" s="2">
        <v>41.1</v>
      </c>
      <c r="H16" s="2">
        <v>55</v>
      </c>
    </row>
    <row r="17" spans="3:15" ht="15" thickBot="1" x14ac:dyDescent="0.35">
      <c r="C17" s="2">
        <v>2001</v>
      </c>
      <c r="D17" s="2">
        <v>35.6</v>
      </c>
      <c r="E17" s="2">
        <v>44.4</v>
      </c>
      <c r="F17" s="2">
        <v>49.5</v>
      </c>
      <c r="G17" s="2">
        <v>70.3</v>
      </c>
      <c r="H17" s="2">
        <v>110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3:15" ht="15" thickBot="1" x14ac:dyDescent="0.35">
      <c r="C18" s="2">
        <v>2002</v>
      </c>
      <c r="D18" s="2">
        <v>14.3</v>
      </c>
      <c r="E18" s="2">
        <v>25</v>
      </c>
      <c r="F18" s="2">
        <v>36</v>
      </c>
      <c r="G18" s="2">
        <v>49.6</v>
      </c>
      <c r="H18" s="2">
        <v>63.1</v>
      </c>
      <c r="K18" s="1">
        <v>1</v>
      </c>
      <c r="L18">
        <f>$D$38+($D$37*(-LN(-LN(($K$12-1)/$K$12))))</f>
        <v>12.930027872541011</v>
      </c>
      <c r="M18">
        <f>$D$38+($D$37*(-LN(-LN(($K$13-1)/$K$13))))</f>
        <v>21.364575231177795</v>
      </c>
      <c r="N18">
        <f>$D$38+($D$37*(-LN(-LN(($K$14-1)/$K$14))))</f>
        <v>28.759125762545104</v>
      </c>
      <c r="O18">
        <f>$D$38+($D$37*(-LN(-LN(($K$15-1)/$K$15))))</f>
        <v>31.885211349704598</v>
      </c>
    </row>
    <row r="19" spans="3:15" ht="15" thickBot="1" x14ac:dyDescent="0.35">
      <c r="C19" s="2">
        <v>2003</v>
      </c>
      <c r="D19" s="2">
        <v>10</v>
      </c>
      <c r="E19" s="2">
        <v>20.5</v>
      </c>
      <c r="F19" s="2">
        <v>28.3</v>
      </c>
      <c r="G19" s="2">
        <v>40</v>
      </c>
      <c r="H19" s="2">
        <v>51.9</v>
      </c>
      <c r="K19" s="1">
        <v>3</v>
      </c>
      <c r="L19">
        <f>$E$38+($E$37*(-LN(-LN(($K12-1)/$K12))))</f>
        <v>22.867434708022397</v>
      </c>
      <c r="M19">
        <f>$E$38+($E$37*(-LN(-LN(($K13-1)/$K13))))</f>
        <v>33.202879696095721</v>
      </c>
      <c r="N19">
        <f>$E$38+($E$37*(-LN(-LN(($K14-1)/$K14))))</f>
        <v>42.263943316802845</v>
      </c>
      <c r="O19">
        <f>$E$38+($E$37*(-LN(-LN(($K15-1)/$K15))))</f>
        <v>46.094556180812873</v>
      </c>
    </row>
    <row r="20" spans="3:15" ht="15" thickBot="1" x14ac:dyDescent="0.35">
      <c r="C20" s="2">
        <v>2004</v>
      </c>
      <c r="D20" s="2">
        <v>9.6</v>
      </c>
      <c r="E20" s="2">
        <v>18.2</v>
      </c>
      <c r="F20" s="2">
        <v>25.8</v>
      </c>
      <c r="G20" s="2">
        <v>38.5</v>
      </c>
      <c r="H20" s="2">
        <v>48.5</v>
      </c>
      <c r="K20" s="1">
        <v>6</v>
      </c>
      <c r="L20">
        <f>$F$38+($F$37*(-LN(-LN(($K12-1)/$K12))))</f>
        <v>32.328033786506744</v>
      </c>
      <c r="M20">
        <f>$F$38+($F$37*(-LN(-LN(($K13-1)/$K13))))</f>
        <v>42.687927060923094</v>
      </c>
      <c r="N20">
        <f>$F$38+($F$37*(-LN(-LN(($K14-1)/$K14))))</f>
        <v>51.770424444591285</v>
      </c>
      <c r="O20">
        <f>$F$38+($F$37*(-LN(-LN(($K15-1)/$K15))))</f>
        <v>55.610098545952646</v>
      </c>
    </row>
    <row r="21" spans="3:15" ht="15" thickBot="1" x14ac:dyDescent="0.35">
      <c r="C21" s="2">
        <v>2005</v>
      </c>
      <c r="D21" s="2">
        <v>11.6</v>
      </c>
      <c r="E21" s="2">
        <v>21.5</v>
      </c>
      <c r="F21" s="2">
        <v>31.7</v>
      </c>
      <c r="G21" s="2">
        <v>43.6</v>
      </c>
      <c r="H21" s="2">
        <v>56.4</v>
      </c>
      <c r="K21" s="1">
        <v>12</v>
      </c>
      <c r="L21">
        <f>$G$38+($G$37*(-LN(-LN(($K12-1)/$K12))))</f>
        <v>45.626339124795912</v>
      </c>
      <c r="M21">
        <f>$G$38+($G$37*(-LN(-LN(($K13-1)/$K13))))</f>
        <v>59.54817243847306</v>
      </c>
      <c r="N21">
        <f>$G$38+($G$37*(-LN(-LN(($K14-1)/$K14))))</f>
        <v>71.753415417142733</v>
      </c>
      <c r="O21">
        <f>$G$38+($G$37*(-LN(-LN(($K15-1)/$K15))))</f>
        <v>76.913246836449275</v>
      </c>
    </row>
    <row r="22" spans="3:15" ht="15" thickBot="1" x14ac:dyDescent="0.35">
      <c r="C22" s="2">
        <v>2006</v>
      </c>
      <c r="D22" s="2">
        <v>16</v>
      </c>
      <c r="E22" s="2">
        <v>25.4</v>
      </c>
      <c r="F22" s="2">
        <v>37.799999999999997</v>
      </c>
      <c r="G22" s="2">
        <v>53.7</v>
      </c>
      <c r="H22" s="2">
        <v>69</v>
      </c>
      <c r="K22" s="1">
        <v>24</v>
      </c>
      <c r="L22">
        <f>$H$38+($H$37*(-LN(-LN(($K12-1)/$K12))))</f>
        <v>59.101273187187743</v>
      </c>
      <c r="M22">
        <f>$H$38+($H$37*(-LN(-LN(($K13-1)/$K13))))</f>
        <v>85.765305756067249</v>
      </c>
      <c r="N22">
        <f>$H$38+($H$37*(-LN(-LN(($K14-1)/$K14))))</f>
        <v>109.14160893121121</v>
      </c>
      <c r="O22">
        <f>$H$38+($H$37*(-LN(-LN(($K15-1)/$K15))))</f>
        <v>119.02406549525823</v>
      </c>
    </row>
    <row r="23" spans="3:15" ht="15" thickBot="1" x14ac:dyDescent="0.35">
      <c r="C23" s="2">
        <v>2007</v>
      </c>
      <c r="D23" s="2">
        <v>13</v>
      </c>
      <c r="E23" s="2">
        <v>23.4</v>
      </c>
      <c r="F23" s="2">
        <v>32.799999999999997</v>
      </c>
      <c r="G23" s="2">
        <v>48</v>
      </c>
      <c r="H23" s="2">
        <v>61.5</v>
      </c>
    </row>
    <row r="24" spans="3:15" ht="15" thickBot="1" x14ac:dyDescent="0.35">
      <c r="C24" s="2">
        <v>2008</v>
      </c>
      <c r="D24" s="2">
        <v>14.4</v>
      </c>
      <c r="E24" s="2">
        <v>25.1</v>
      </c>
      <c r="F24" s="2">
        <v>37.5</v>
      </c>
      <c r="G24" s="2">
        <v>50</v>
      </c>
      <c r="H24" s="2">
        <v>65</v>
      </c>
    </row>
    <row r="25" spans="3:15" ht="15" thickBot="1" x14ac:dyDescent="0.35">
      <c r="C25" s="2">
        <v>2009</v>
      </c>
      <c r="D25" s="2">
        <v>16.7</v>
      </c>
      <c r="E25" s="2">
        <v>27.6</v>
      </c>
      <c r="F25" s="2">
        <v>39.700000000000003</v>
      </c>
      <c r="G25" s="2">
        <v>56.4</v>
      </c>
      <c r="H25" s="2">
        <v>74.7</v>
      </c>
    </row>
    <row r="26" spans="3:15" ht="15" thickBot="1" x14ac:dyDescent="0.35">
      <c r="C26" s="2">
        <v>2010</v>
      </c>
      <c r="D26" s="2">
        <v>9.6999999999999993</v>
      </c>
      <c r="E26" s="2">
        <v>19.8</v>
      </c>
      <c r="F26" s="2">
        <v>26.9</v>
      </c>
      <c r="G26" s="2">
        <v>39.9</v>
      </c>
      <c r="H26" s="2">
        <v>49.3</v>
      </c>
    </row>
    <row r="27" spans="3:15" ht="15" thickBot="1" x14ac:dyDescent="0.35">
      <c r="C27" s="2">
        <v>2011</v>
      </c>
      <c r="D27" s="2">
        <v>8</v>
      </c>
      <c r="E27" s="2">
        <v>16</v>
      </c>
      <c r="F27" s="2">
        <v>25</v>
      </c>
      <c r="G27" s="2">
        <v>34.299999999999997</v>
      </c>
      <c r="H27" s="2">
        <v>38</v>
      </c>
    </row>
    <row r="28" spans="3:15" ht="15" thickBot="1" x14ac:dyDescent="0.35">
      <c r="C28" s="2">
        <v>2012</v>
      </c>
      <c r="D28" s="2">
        <v>25</v>
      </c>
      <c r="E28" s="2">
        <v>41.9</v>
      </c>
      <c r="F28" s="2">
        <v>45.7</v>
      </c>
      <c r="G28" s="2">
        <v>62.3</v>
      </c>
      <c r="H28" s="2">
        <v>94</v>
      </c>
    </row>
    <row r="29" spans="3:15" ht="15" thickBot="1" x14ac:dyDescent="0.35">
      <c r="C29" s="2">
        <v>2013</v>
      </c>
      <c r="D29" s="2">
        <v>13.2</v>
      </c>
      <c r="E29" s="2">
        <v>24</v>
      </c>
      <c r="F29" s="2">
        <v>35.200000000000003</v>
      </c>
      <c r="G29" s="2">
        <v>48.7</v>
      </c>
      <c r="H29" s="2">
        <v>61.9</v>
      </c>
    </row>
    <row r="30" spans="3:15" ht="15" thickBot="1" x14ac:dyDescent="0.35">
      <c r="C30" s="2">
        <v>2014</v>
      </c>
      <c r="D30" s="2">
        <v>12.8</v>
      </c>
      <c r="E30" s="2">
        <v>22.7</v>
      </c>
      <c r="F30" s="2">
        <v>32.4</v>
      </c>
      <c r="G30" s="2">
        <v>47.1</v>
      </c>
      <c r="H30" s="2">
        <v>61.1</v>
      </c>
    </row>
    <row r="31" spans="3:15" ht="15" thickBot="1" x14ac:dyDescent="0.35">
      <c r="C31" s="2">
        <v>2015</v>
      </c>
      <c r="D31" s="2">
        <v>7</v>
      </c>
      <c r="E31" s="2">
        <v>12</v>
      </c>
      <c r="F31" s="2">
        <v>20.3</v>
      </c>
      <c r="G31" s="2">
        <v>27.4</v>
      </c>
      <c r="H31" s="2">
        <v>30</v>
      </c>
    </row>
    <row r="32" spans="3:15" ht="15" thickBot="1" x14ac:dyDescent="0.35">
      <c r="C32" s="2">
        <v>2016</v>
      </c>
      <c r="D32" s="2">
        <v>16.5</v>
      </c>
      <c r="E32" s="2">
        <v>26.3</v>
      </c>
      <c r="F32" s="2">
        <v>38.700000000000003</v>
      </c>
      <c r="G32" s="2">
        <v>55.3</v>
      </c>
      <c r="H32" s="2">
        <v>69.599999999999994</v>
      </c>
    </row>
    <row r="33" spans="3:11" ht="15" thickBot="1" x14ac:dyDescent="0.35">
      <c r="C33" s="2">
        <v>2017</v>
      </c>
      <c r="D33" s="2">
        <v>8.4</v>
      </c>
      <c r="E33" s="2">
        <v>17.399999999999999</v>
      </c>
      <c r="F33" s="2">
        <v>25.6</v>
      </c>
      <c r="G33" s="2">
        <v>34.799999999999997</v>
      </c>
      <c r="H33" s="2">
        <v>40.700000000000003</v>
      </c>
      <c r="K33" s="3" t="s">
        <v>10</v>
      </c>
    </row>
    <row r="34" spans="3:11" x14ac:dyDescent="0.3">
      <c r="K34">
        <f>0.5772</f>
        <v>0.57720000000000005</v>
      </c>
    </row>
    <row r="35" spans="3:11" x14ac:dyDescent="0.3">
      <c r="C35" t="s">
        <v>6</v>
      </c>
      <c r="D35">
        <f>AVERAGE(D4:D33)</f>
        <v>13.873333333333331</v>
      </c>
      <c r="E35">
        <f t="shared" ref="E35:H35" si="5">AVERAGE(E4:E33)</f>
        <v>24.023333333333326</v>
      </c>
      <c r="F35">
        <f t="shared" si="5"/>
        <v>33.486666666666665</v>
      </c>
      <c r="G35">
        <f t="shared" si="5"/>
        <v>47.18333333333333</v>
      </c>
      <c r="H35">
        <f t="shared" si="5"/>
        <v>62.083333333333336</v>
      </c>
      <c r="I35">
        <v>14.1</v>
      </c>
    </row>
    <row r="36" spans="3:11" x14ac:dyDescent="0.3">
      <c r="C36" t="s">
        <v>7</v>
      </c>
      <c r="D36">
        <f>_xlfn.STDEV.S(D4:D33)</f>
        <v>5.7423372229092617</v>
      </c>
      <c r="E36">
        <f t="shared" ref="E36:H36" si="6">_xlfn.STDEV.S(E4:E33)</f>
        <v>7.0364902758619001</v>
      </c>
      <c r="F36">
        <f t="shared" si="6"/>
        <v>7.0531349514721642</v>
      </c>
      <c r="G36">
        <f t="shared" si="6"/>
        <v>9.4781448546146105</v>
      </c>
      <c r="H36">
        <f t="shared" si="6"/>
        <v>18.153181222742976</v>
      </c>
      <c r="I36">
        <f>SQRT(34.8)</f>
        <v>5.8991524815010496</v>
      </c>
    </row>
    <row r="37" spans="3:11" x14ac:dyDescent="0.3">
      <c r="C37" t="s">
        <v>8</v>
      </c>
      <c r="D37">
        <f>SQRT(6)*(D36/PI())</f>
        <v>4.477281964307422</v>
      </c>
      <c r="E37">
        <f t="shared" ref="E37:I37" si="7">SQRT(6)*(E36/PI())</f>
        <v>5.4863289600013898</v>
      </c>
      <c r="F37">
        <f t="shared" si="7"/>
        <v>5.4993067603322849</v>
      </c>
      <c r="G37">
        <f t="shared" si="7"/>
        <v>7.3900792247724372</v>
      </c>
      <c r="H37">
        <f t="shared" si="7"/>
        <v>14.153977331587932</v>
      </c>
      <c r="I37">
        <f t="shared" si="7"/>
        <v>4.5995503198160703</v>
      </c>
    </row>
    <row r="38" spans="3:11" x14ac:dyDescent="0.3">
      <c r="C38" t="s">
        <v>9</v>
      </c>
      <c r="D38">
        <f>D35-($K$34*D37)</f>
        <v>11.289046183535087</v>
      </c>
      <c r="E38">
        <f t="shared" ref="E38:I38" si="8">E35-($K$34*E37)</f>
        <v>20.856624257620524</v>
      </c>
      <c r="F38">
        <f t="shared" si="8"/>
        <v>30.31246680460287</v>
      </c>
      <c r="G38">
        <f t="shared" si="8"/>
        <v>42.917779604794681</v>
      </c>
      <c r="H38">
        <f t="shared" si="8"/>
        <v>53.913657617540778</v>
      </c>
      <c r="I38">
        <f t="shared" si="8"/>
        <v>11.445139555402164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Guerrero</dc:creator>
  <cp:lastModifiedBy>49717116, 05e9d25e</cp:lastModifiedBy>
  <dcterms:created xsi:type="dcterms:W3CDTF">2015-06-05T18:17:20Z</dcterms:created>
  <dcterms:modified xsi:type="dcterms:W3CDTF">2026-02-08T15:38:20Z</dcterms:modified>
</cp:coreProperties>
</file>