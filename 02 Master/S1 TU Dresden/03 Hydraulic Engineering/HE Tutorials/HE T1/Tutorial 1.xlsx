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an\Documents\Obsidian Vault\Apuntes\02 Master\S1 TU Dresden\03 Hydraulic Engineering\HE Tutorials\HE T1\"/>
    </mc:Choice>
  </mc:AlternateContent>
  <xr:revisionPtr revIDLastSave="0" documentId="13_ncr:1_{9EFDE78B-7BAA-493C-ACD9-5632640DA8A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Tutorial 1" sheetId="1" r:id="rId1"/>
    <sheet name="Tutoria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18" i="2"/>
  <c r="D17" i="2"/>
  <c r="D16" i="2"/>
  <c r="D15" i="2"/>
  <c r="D13" i="2"/>
  <c r="D14" i="2"/>
  <c r="D8" i="2"/>
  <c r="D6" i="2"/>
  <c r="D4" i="2"/>
  <c r="D7" i="2" s="1"/>
  <c r="H45" i="1"/>
  <c r="H37" i="1"/>
  <c r="H39" i="1"/>
  <c r="H41" i="1"/>
  <c r="H43" i="1"/>
  <c r="H35" i="1"/>
  <c r="J35" i="1"/>
  <c r="J37" i="1"/>
  <c r="J39" i="1"/>
  <c r="J41" i="1"/>
  <c r="J43" i="1"/>
  <c r="J45" i="1"/>
  <c r="J33" i="1"/>
  <c r="H33" i="1"/>
  <c r="H32" i="1"/>
  <c r="G37" i="1"/>
  <c r="G39" i="1"/>
  <c r="G41" i="1"/>
  <c r="G43" i="1"/>
  <c r="G45" i="1"/>
  <c r="G35" i="1"/>
  <c r="G33" i="1"/>
  <c r="G32" i="1"/>
  <c r="I45" i="1"/>
  <c r="I43" i="1"/>
  <c r="I41" i="1"/>
  <c r="I39" i="1"/>
  <c r="I37" i="1"/>
  <c r="I35" i="1"/>
  <c r="I33" i="1"/>
  <c r="I46" i="1"/>
  <c r="J46" i="1" s="1"/>
  <c r="G50" i="1"/>
  <c r="I32" i="1"/>
  <c r="I47" i="1" s="1"/>
  <c r="A29" i="1"/>
  <c r="E23" i="1"/>
  <c r="D23" i="1"/>
  <c r="B23" i="1"/>
  <c r="E24" i="1"/>
  <c r="D24" i="1"/>
  <c r="A20" i="1"/>
  <c r="A1" i="1"/>
  <c r="A16" i="1"/>
  <c r="A15" i="1"/>
  <c r="B15" i="1" s="1"/>
  <c r="D15" i="1" s="1"/>
  <c r="E15" i="1" s="1"/>
  <c r="D14" i="1"/>
  <c r="E14" i="1" s="1"/>
  <c r="C14" i="1"/>
  <c r="A13" i="1"/>
  <c r="B14" i="1"/>
  <c r="D13" i="1"/>
  <c r="C13" i="1"/>
  <c r="J32" i="1" l="1"/>
  <c r="D25" i="1"/>
  <c r="E25" i="1"/>
  <c r="E13" i="1"/>
  <c r="J47" i="1"/>
</calcChain>
</file>

<file path=xl/sharedStrings.xml><?xml version="1.0" encoding="utf-8"?>
<sst xmlns="http://schemas.openxmlformats.org/spreadsheetml/2006/main" count="53" uniqueCount="39">
  <si>
    <t>Gauge (m) MSL</t>
  </si>
  <si>
    <t>Area (m²)</t>
  </si>
  <si>
    <t>v [m/s]</t>
  </si>
  <si>
    <t>Tasks</t>
  </si>
  <si>
    <t>1. Find the area and velocity of the control section when the gauge reading was 506.80, then find the discharge</t>
  </si>
  <si>
    <t>2. Find the area and gauge reading of control section when the velocity reading was 2.0 m/s Then find the discharge</t>
  </si>
  <si>
    <t>3. Find the velocity and the gauge reading of the control section when the area was 140 m2 and hence find the discharge</t>
  </si>
  <si>
    <t>Extra</t>
  </si>
  <si>
    <t>m A</t>
  </si>
  <si>
    <t>Q</t>
  </si>
  <si>
    <t>v</t>
  </si>
  <si>
    <t>A</t>
  </si>
  <si>
    <t>d</t>
  </si>
  <si>
    <t>t</t>
  </si>
  <si>
    <t>h</t>
  </si>
  <si>
    <t>Coef</t>
  </si>
  <si>
    <t>b</t>
  </si>
  <si>
    <t>Vertical No.</t>
  </si>
  <si>
    <t>Distance from bank [m]</t>
  </si>
  <si>
    <t>Depth [m]</t>
  </si>
  <si>
    <t>Depth of measuring point [m]</t>
  </si>
  <si>
    <t>Velocity [m/s]</t>
  </si>
  <si>
    <t>-</t>
  </si>
  <si>
    <t>Calculated Flow</t>
  </si>
  <si>
    <t>Area</t>
  </si>
  <si>
    <t>Mean v in vertical</t>
  </si>
  <si>
    <t>Mean v in area</t>
  </si>
  <si>
    <t>Final Flow</t>
  </si>
  <si>
    <t>1)</t>
  </si>
  <si>
    <t>Rhy</t>
  </si>
  <si>
    <t>hm</t>
  </si>
  <si>
    <t>Pm</t>
  </si>
  <si>
    <t>T</t>
  </si>
  <si>
    <t>2)</t>
  </si>
  <si>
    <t>alpha</t>
  </si>
  <si>
    <t>diag</t>
  </si>
  <si>
    <t>diag_h</t>
  </si>
  <si>
    <t>P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</si>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</sst>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2" fontId="0" fillId="0" borderId="0" xfId="0" applyNumberFormat="1"/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5" xfId="0" applyFont="1" applyFill="1" applyBorder="1" applyAlignment="1">
      <alignment horizontal="left" vertical="center" wrapText="1" indent="1" readingOrder="1"/>
    </xf>
    <xf numFmtId="0" fontId="1" fillId="0" borderId="5" xfId="0" applyFont="1" applyFill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320040</xdr:colOff>
      <xdr:row>28</xdr:row>
      <xdr:rowOff>148515</xdr:rowOff>
    </xdr:from>
    <xdr:to>
      <xdr:col>20</xdr:col>
      <xdr:colOff>419914</xdr:colOff>
      <xdr:row>46</xdr:row>
      <xdr:rowOff>128181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0915C-3C65-7DAC-8648-D1153CCB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5596815"/>
          <a:ext cx="5586274" cy="3751566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495301</xdr:colOff>
      <xdr:row>16</xdr:row>
      <xdr:rowOff>83820</xdr:rowOff>
    </xdr:from>
    <xdr:to>
      <xdr:col>13</xdr:col>
      <xdr:colOff>388621</xdr:colOff>
      <xdr:row>24</xdr:row>
      <xdr:rowOff>114387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19817B-0512-4774-DCBF-483E3AA2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4161" y="3314700"/>
          <a:ext cx="3238500" cy="1508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585802</xdr:colOff>
      <xdr:row>9</xdr:row>
      <xdr:rowOff>61173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9A53D4-0C53-9B66-9D4E-B1DAE2F0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840" y="182880"/>
          <a:ext cx="6925642" cy="1524213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11</xdr:row>
      <xdr:rowOff>76200</xdr:rowOff>
    </xdr:from>
    <xdr:to>
      <xdr:col>17</xdr:col>
      <xdr:colOff>542121</xdr:colOff>
      <xdr:row>16</xdr:row>
      <xdr:rowOff>76328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F3005-5E2E-4ADF-2F9E-1E8C50DBB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6480" y="2087880"/>
          <a:ext cx="7887801" cy="914528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15</xdr:row>
      <xdr:rowOff>60960</xdr:rowOff>
    </xdr:from>
    <xdr:to>
      <xdr:col>10</xdr:col>
      <xdr:colOff>136344</xdr:colOff>
      <xdr:row>21</xdr:row>
      <xdr:rowOff>40155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A4A18B-899E-E120-5C0D-735C08FA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80" y="2804160"/>
          <a:ext cx="7802064" cy="107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opLeftCell="A30" zoomScaleNormal="100" workbookViewId="0">
      <selection activeCell="C50" sqref="C50"/>
    </sheetView>
  </sheetViews>
  <sheetFormatPr baseColWidth="10" defaultColWidth="8.88671875" defaultRowHeight="14.4" x14ac:dyDescent="0.3"/>
  <cols>
    <col min="2" max="2" width="17" customWidth="1"/>
    <col min="3" max="3" width="18" customWidth="1"/>
    <col min="4" max="4" width="12" customWidth="1"/>
    <col min="5" max="5" width="13.88671875" customWidth="1"/>
    <col min="6" max="6" width="10.33203125" customWidth="1"/>
    <col min="7" max="7" width="12.44140625" bestFit="1" customWidth="1"/>
    <col min="8" max="8" width="12.44140625" customWidth="1"/>
    <col min="10" max="10" width="13.21875" customWidth="1"/>
  </cols>
  <sheetData>
    <row r="1" spans="1:16" ht="15" thickBot="1" x14ac:dyDescent="0.35">
      <c r="A1" s="1" t="str">
        <f>"1."</f>
        <v>1.</v>
      </c>
    </row>
    <row r="2" spans="1:16" ht="28.2" thickBot="1" x14ac:dyDescent="0.35">
      <c r="C2" s="1" t="s">
        <v>0</v>
      </c>
      <c r="D2" s="1" t="s">
        <v>1</v>
      </c>
      <c r="E2" s="6"/>
      <c r="G2" s="1" t="s">
        <v>0</v>
      </c>
      <c r="H2" s="1"/>
      <c r="I2" s="1" t="s">
        <v>2</v>
      </c>
      <c r="K2" s="3" t="s">
        <v>3</v>
      </c>
    </row>
    <row r="3" spans="1:16" ht="15" customHeight="1" thickBot="1" x14ac:dyDescent="0.35">
      <c r="C3" s="2">
        <v>505.65</v>
      </c>
      <c r="D3" s="2">
        <v>10</v>
      </c>
      <c r="E3" s="7"/>
      <c r="G3" s="2">
        <v>505.8</v>
      </c>
      <c r="H3" s="2"/>
      <c r="I3" s="2">
        <v>0.5</v>
      </c>
      <c r="K3" s="4" t="s">
        <v>4</v>
      </c>
      <c r="L3" s="4"/>
      <c r="M3" s="4"/>
      <c r="N3" s="4"/>
      <c r="O3" s="4"/>
      <c r="P3" s="5"/>
    </row>
    <row r="4" spans="1:16" ht="15" thickBot="1" x14ac:dyDescent="0.35">
      <c r="C4" s="2">
        <v>506</v>
      </c>
      <c r="D4" s="2">
        <v>45</v>
      </c>
      <c r="E4" s="7"/>
      <c r="G4" s="2">
        <v>506</v>
      </c>
      <c r="H4" s="2"/>
      <c r="I4" s="2">
        <v>0.7</v>
      </c>
      <c r="K4" s="4"/>
      <c r="L4" s="4"/>
      <c r="M4" s="4"/>
      <c r="N4" s="4"/>
      <c r="O4" s="4"/>
      <c r="P4" s="5"/>
    </row>
    <row r="5" spans="1:16" ht="15" thickBot="1" x14ac:dyDescent="0.35">
      <c r="C5" s="2">
        <v>506.5</v>
      </c>
      <c r="D5" s="2">
        <v>108</v>
      </c>
      <c r="E5" s="7"/>
      <c r="G5" s="2">
        <v>506.1</v>
      </c>
      <c r="H5" s="2"/>
      <c r="I5" s="2">
        <v>0.8</v>
      </c>
      <c r="K5" s="4"/>
      <c r="L5" s="4"/>
      <c r="M5" s="4"/>
      <c r="N5" s="4"/>
      <c r="O5" s="4"/>
      <c r="P5" s="5"/>
    </row>
    <row r="6" spans="1:16" ht="15" thickBot="1" x14ac:dyDescent="0.35">
      <c r="C6" s="2">
        <v>507</v>
      </c>
      <c r="D6" s="2">
        <v>150</v>
      </c>
      <c r="E6" s="7"/>
      <c r="G6" s="2">
        <v>506.3</v>
      </c>
      <c r="H6" s="2"/>
      <c r="I6" s="2">
        <v>1.3</v>
      </c>
      <c r="K6" s="4" t="s">
        <v>5</v>
      </c>
      <c r="L6" s="4"/>
      <c r="M6" s="4"/>
      <c r="N6" s="4"/>
      <c r="O6" s="4"/>
      <c r="P6" s="5"/>
    </row>
    <row r="7" spans="1:16" ht="15" thickBot="1" x14ac:dyDescent="0.35">
      <c r="C7" s="2">
        <v>507.5</v>
      </c>
      <c r="D7" s="2">
        <v>210</v>
      </c>
      <c r="E7" s="7"/>
      <c r="G7" s="2">
        <v>506.43</v>
      </c>
      <c r="H7" s="2"/>
      <c r="I7" s="2">
        <v>1.4</v>
      </c>
      <c r="K7" s="4"/>
      <c r="L7" s="4"/>
      <c r="M7" s="4"/>
      <c r="N7" s="4"/>
      <c r="O7" s="4"/>
    </row>
    <row r="8" spans="1:16" ht="15" thickBot="1" x14ac:dyDescent="0.35">
      <c r="C8" s="2">
        <v>507.6</v>
      </c>
      <c r="D8" s="2">
        <v>220</v>
      </c>
      <c r="E8" s="7"/>
      <c r="G8" s="2">
        <v>506.5</v>
      </c>
      <c r="H8" s="2"/>
      <c r="I8" s="2">
        <v>2</v>
      </c>
      <c r="K8" s="4"/>
      <c r="L8" s="4"/>
      <c r="M8" s="4"/>
      <c r="N8" s="4"/>
      <c r="O8" s="4"/>
    </row>
    <row r="9" spans="1:16" ht="15" thickBot="1" x14ac:dyDescent="0.35">
      <c r="C9" s="2">
        <v>507.7</v>
      </c>
      <c r="D9" s="2">
        <v>230</v>
      </c>
      <c r="E9" s="7"/>
      <c r="G9" s="2">
        <v>506.6</v>
      </c>
      <c r="H9" s="2"/>
      <c r="I9" s="2">
        <v>2.4</v>
      </c>
      <c r="K9" s="4" t="s">
        <v>6</v>
      </c>
      <c r="L9" s="4"/>
      <c r="M9" s="4"/>
      <c r="N9" s="4"/>
      <c r="O9" s="4"/>
    </row>
    <row r="10" spans="1:16" ht="15" thickBot="1" x14ac:dyDescent="0.35">
      <c r="G10" s="2">
        <v>506.7</v>
      </c>
      <c r="H10" s="2"/>
      <c r="I10" s="2">
        <v>2.8</v>
      </c>
      <c r="K10" s="4"/>
      <c r="L10" s="4"/>
      <c r="M10" s="4"/>
      <c r="N10" s="4"/>
      <c r="O10" s="4"/>
    </row>
    <row r="11" spans="1:16" ht="15" thickBot="1" x14ac:dyDescent="0.35">
      <c r="B11" t="s">
        <v>7</v>
      </c>
      <c r="G11" s="2">
        <v>506.8</v>
      </c>
      <c r="H11" s="2"/>
      <c r="I11" s="2">
        <v>3.4</v>
      </c>
      <c r="K11" s="4"/>
      <c r="L11" s="4"/>
      <c r="M11" s="4"/>
      <c r="N11" s="4"/>
      <c r="O11" s="4"/>
    </row>
    <row r="12" spans="1:16" ht="16.8" customHeight="1" thickBot="1" x14ac:dyDescent="0.35">
      <c r="A12" t="s">
        <v>8</v>
      </c>
      <c r="B12" s="1" t="s">
        <v>0</v>
      </c>
      <c r="C12" s="1" t="s">
        <v>1</v>
      </c>
      <c r="D12" s="1" t="s">
        <v>2</v>
      </c>
      <c r="E12" s="8" t="s">
        <v>9</v>
      </c>
      <c r="G12" s="2">
        <v>506.9</v>
      </c>
      <c r="H12" s="2"/>
      <c r="I12" s="2">
        <v>3.9</v>
      </c>
    </row>
    <row r="13" spans="1:16" ht="15" thickBot="1" x14ac:dyDescent="0.35">
      <c r="A13">
        <f>(D6-D5)/(C6-C5)</f>
        <v>84</v>
      </c>
      <c r="B13">
        <v>506.8</v>
      </c>
      <c r="C13">
        <f>(506.8-C5)*A13 + D5</f>
        <v>133.20000000000095</v>
      </c>
      <c r="D13">
        <f>I11</f>
        <v>3.4</v>
      </c>
      <c r="E13">
        <f>D13*C13</f>
        <v>452.88000000000324</v>
      </c>
      <c r="G13" s="2">
        <v>507</v>
      </c>
      <c r="H13" s="2"/>
      <c r="I13" s="2">
        <v>4</v>
      </c>
    </row>
    <row r="14" spans="1:16" ht="15" thickBot="1" x14ac:dyDescent="0.35">
      <c r="B14">
        <f>G8</f>
        <v>506.5</v>
      </c>
      <c r="C14">
        <f>D5</f>
        <v>108</v>
      </c>
      <c r="D14">
        <f>I8</f>
        <v>2</v>
      </c>
      <c r="E14">
        <f>D14*C14</f>
        <v>216</v>
      </c>
      <c r="G14" s="2">
        <v>507.1</v>
      </c>
      <c r="H14" s="2"/>
      <c r="I14" s="2">
        <v>4.55</v>
      </c>
    </row>
    <row r="15" spans="1:16" ht="15" thickBot="1" x14ac:dyDescent="0.35">
      <c r="A15">
        <f>(C6-C5)/(D6-D5)</f>
        <v>1.1904761904761904E-2</v>
      </c>
      <c r="B15" s="9">
        <f>C5+(A15*(C15-D5))</f>
        <v>506.88095238095241</v>
      </c>
      <c r="C15">
        <v>140</v>
      </c>
      <c r="D15" s="9">
        <f>I11+((B15-G11)*A16)</f>
        <v>3.8047619047621213</v>
      </c>
      <c r="E15">
        <f>D15*C15</f>
        <v>532.66666666669698</v>
      </c>
      <c r="G15" s="2">
        <v>507.2</v>
      </c>
      <c r="H15" s="2"/>
      <c r="I15" s="2">
        <v>4.95</v>
      </c>
    </row>
    <row r="16" spans="1:16" x14ac:dyDescent="0.3">
      <c r="A16">
        <f>(I12-I11)/(G12-G11)</f>
        <v>5.0000000000017053</v>
      </c>
    </row>
    <row r="19" spans="1:10" ht="15" thickBot="1" x14ac:dyDescent="0.35">
      <c r="D19">
        <v>1</v>
      </c>
      <c r="E19">
        <v>2</v>
      </c>
    </row>
    <row r="20" spans="1:10" ht="15" thickBot="1" x14ac:dyDescent="0.35">
      <c r="A20" s="1" t="str">
        <f>"2."</f>
        <v>2.</v>
      </c>
      <c r="C20" t="s">
        <v>12</v>
      </c>
      <c r="D20">
        <v>100</v>
      </c>
      <c r="E20">
        <v>100</v>
      </c>
    </row>
    <row r="21" spans="1:10" x14ac:dyDescent="0.3">
      <c r="A21" t="s">
        <v>16</v>
      </c>
      <c r="B21">
        <v>50</v>
      </c>
      <c r="C21" t="s">
        <v>14</v>
      </c>
      <c r="D21">
        <v>1.5</v>
      </c>
      <c r="E21">
        <v>1</v>
      </c>
    </row>
    <row r="22" spans="1:10" x14ac:dyDescent="0.3">
      <c r="A22" t="s">
        <v>15</v>
      </c>
      <c r="B22">
        <v>0.83</v>
      </c>
      <c r="C22" t="s">
        <v>13</v>
      </c>
      <c r="D22">
        <v>60</v>
      </c>
      <c r="E22">
        <v>80</v>
      </c>
    </row>
    <row r="23" spans="1:10" x14ac:dyDescent="0.3">
      <c r="B23" t="str">
        <f>"A=b*h+m*h^2"</f>
        <v>A=b*h+m*h^2</v>
      </c>
      <c r="C23" t="s">
        <v>11</v>
      </c>
      <c r="D23">
        <f>($B$21*D21)+(2*(D21*D21))</f>
        <v>79.5</v>
      </c>
      <c r="E23">
        <f>($B$21*E21)+(2*(E21*E21))</f>
        <v>52</v>
      </c>
    </row>
    <row r="24" spans="1:10" x14ac:dyDescent="0.3">
      <c r="C24" t="s">
        <v>10</v>
      </c>
      <c r="D24" s="9">
        <f>D20*$B$22/D22</f>
        <v>1.3833333333333333</v>
      </c>
      <c r="E24" s="9">
        <f>E20*$B$22/E22</f>
        <v>1.0375000000000001</v>
      </c>
    </row>
    <row r="25" spans="1:10" x14ac:dyDescent="0.3">
      <c r="C25" t="s">
        <v>9</v>
      </c>
      <c r="D25">
        <f>D23*D24</f>
        <v>109.97499999999999</v>
      </c>
      <c r="E25">
        <f>E23*E24</f>
        <v>53.95</v>
      </c>
    </row>
    <row r="28" spans="1:10" ht="15" thickBot="1" x14ac:dyDescent="0.35"/>
    <row r="29" spans="1:10" ht="15" thickBot="1" x14ac:dyDescent="0.35">
      <c r="A29" s="1" t="str">
        <f>"3."</f>
        <v>3.</v>
      </c>
    </row>
    <row r="30" spans="1:10" ht="42" thickBot="1" x14ac:dyDescent="0.35"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2" t="s">
        <v>25</v>
      </c>
      <c r="H30" s="3" t="s">
        <v>26</v>
      </c>
      <c r="I30" s="3" t="s">
        <v>24</v>
      </c>
      <c r="J30" s="12" t="s">
        <v>23</v>
      </c>
    </row>
    <row r="31" spans="1:10" ht="15" thickBot="1" x14ac:dyDescent="0.35">
      <c r="B31" s="2">
        <v>0</v>
      </c>
      <c r="C31" s="2">
        <v>0</v>
      </c>
      <c r="D31" s="2">
        <v>0</v>
      </c>
      <c r="E31" s="2">
        <v>0</v>
      </c>
      <c r="F31" s="2" t="s">
        <v>22</v>
      </c>
    </row>
    <row r="32" spans="1:10" ht="15" thickBot="1" x14ac:dyDescent="0.35">
      <c r="B32" s="2">
        <v>1</v>
      </c>
      <c r="C32" s="2">
        <v>1</v>
      </c>
      <c r="D32" s="2">
        <v>1</v>
      </c>
      <c r="E32" s="2">
        <v>0.6</v>
      </c>
      <c r="F32" s="2">
        <v>0.24399999999999999</v>
      </c>
      <c r="G32">
        <f>F32</f>
        <v>0.24399999999999999</v>
      </c>
      <c r="H32">
        <f>G32</f>
        <v>0.24399999999999999</v>
      </c>
      <c r="I32">
        <f>((C32-C31)+C31)*D32/2</f>
        <v>0.5</v>
      </c>
      <c r="J32">
        <f>F32*I32</f>
        <v>0.122</v>
      </c>
    </row>
    <row r="33" spans="2:10" ht="15" thickBot="1" x14ac:dyDescent="0.35">
      <c r="B33" s="10">
        <v>2</v>
      </c>
      <c r="C33" s="10">
        <v>2</v>
      </c>
      <c r="D33" s="2">
        <v>1.5</v>
      </c>
      <c r="E33" s="2">
        <v>0.3</v>
      </c>
      <c r="F33" s="2">
        <v>0.46700000000000003</v>
      </c>
      <c r="G33">
        <f>AVERAGE(F33:F34)</f>
        <v>0.38350000000000001</v>
      </c>
      <c r="H33">
        <f>AVERAGE(G32:G33)</f>
        <v>0.31374999999999997</v>
      </c>
      <c r="I33">
        <f>AVERAGE(D32:D33)*1</f>
        <v>1.25</v>
      </c>
      <c r="J33">
        <f>H33*I33</f>
        <v>0.39218749999999997</v>
      </c>
    </row>
    <row r="34" spans="2:10" ht="15" thickBot="1" x14ac:dyDescent="0.35">
      <c r="B34" s="11"/>
      <c r="C34" s="11">
        <v>2</v>
      </c>
      <c r="D34" s="2">
        <v>1.5</v>
      </c>
      <c r="E34" s="2">
        <v>1.2</v>
      </c>
      <c r="F34" s="2">
        <v>0.3</v>
      </c>
    </row>
    <row r="35" spans="2:10" ht="15" thickBot="1" x14ac:dyDescent="0.35">
      <c r="B35" s="10">
        <v>3</v>
      </c>
      <c r="C35" s="10">
        <v>3</v>
      </c>
      <c r="D35" s="2">
        <v>2.5</v>
      </c>
      <c r="E35" s="2">
        <v>0.5</v>
      </c>
      <c r="F35" s="2">
        <v>0.46700000000000003</v>
      </c>
      <c r="G35">
        <f>AVERAGE(F35:F36)</f>
        <v>0.41900000000000004</v>
      </c>
      <c r="H35">
        <f>AVERAGE(G33:G35)</f>
        <v>0.40125</v>
      </c>
      <c r="I35">
        <f>AVERAGE(D34:D35)*1</f>
        <v>2</v>
      </c>
      <c r="J35">
        <f t="shared" ref="J34:J45" si="0">H35*I35</f>
        <v>0.80249999999999999</v>
      </c>
    </row>
    <row r="36" spans="2:10" ht="15" thickBot="1" x14ac:dyDescent="0.35">
      <c r="B36" s="11">
        <v>3</v>
      </c>
      <c r="C36" s="11">
        <v>3</v>
      </c>
      <c r="D36" s="2">
        <v>2.5</v>
      </c>
      <c r="E36" s="2">
        <v>2</v>
      </c>
      <c r="F36" s="2">
        <v>0.371</v>
      </c>
    </row>
    <row r="37" spans="2:10" ht="15" thickBot="1" x14ac:dyDescent="0.35">
      <c r="B37" s="10">
        <v>4</v>
      </c>
      <c r="C37" s="10">
        <v>4</v>
      </c>
      <c r="D37" s="2">
        <v>3</v>
      </c>
      <c r="E37" s="2">
        <v>0.6</v>
      </c>
      <c r="F37" s="2">
        <v>0.6</v>
      </c>
      <c r="G37">
        <f t="shared" ref="G37" si="1">AVERAGE(F37:F38)</f>
        <v>0.53349999999999997</v>
      </c>
      <c r="H37">
        <f t="shared" ref="H36:H43" si="2">AVERAGE(G35:G37)</f>
        <v>0.47625000000000001</v>
      </c>
      <c r="I37">
        <f>AVERAGE(D36:D37)*1</f>
        <v>2.75</v>
      </c>
      <c r="J37">
        <f t="shared" si="0"/>
        <v>1.3096875000000001</v>
      </c>
    </row>
    <row r="38" spans="2:10" ht="15" thickBot="1" x14ac:dyDescent="0.35">
      <c r="B38" s="11">
        <v>4</v>
      </c>
      <c r="C38" s="11">
        <v>4</v>
      </c>
      <c r="D38" s="2">
        <v>3</v>
      </c>
      <c r="E38" s="2">
        <v>2.4</v>
      </c>
      <c r="F38" s="2">
        <v>0.46700000000000003</v>
      </c>
    </row>
    <row r="39" spans="2:10" ht="15" thickBot="1" x14ac:dyDescent="0.35">
      <c r="B39" s="10">
        <v>5</v>
      </c>
      <c r="C39" s="10">
        <v>5</v>
      </c>
      <c r="D39" s="2">
        <v>2.2000000000000002</v>
      </c>
      <c r="E39" s="2">
        <v>0.44</v>
      </c>
      <c r="F39" s="2">
        <v>0.50600000000000001</v>
      </c>
      <c r="G39">
        <f t="shared" ref="G39" si="3">AVERAGE(F39:F40)</f>
        <v>0.42549999999999999</v>
      </c>
      <c r="H39">
        <f t="shared" si="2"/>
        <v>0.47949999999999998</v>
      </c>
      <c r="I39">
        <f>AVERAGE(D38:D39)*1</f>
        <v>2.6</v>
      </c>
      <c r="J39">
        <f t="shared" si="0"/>
        <v>1.2466999999999999</v>
      </c>
    </row>
    <row r="40" spans="2:10" ht="15" thickBot="1" x14ac:dyDescent="0.35">
      <c r="B40" s="11">
        <v>5</v>
      </c>
      <c r="C40" s="11">
        <v>5</v>
      </c>
      <c r="D40" s="2">
        <v>2.2000000000000002</v>
      </c>
      <c r="E40" s="2">
        <v>1.76</v>
      </c>
      <c r="F40" s="2">
        <v>0.34499999999999997</v>
      </c>
    </row>
    <row r="41" spans="2:10" ht="15" thickBot="1" x14ac:dyDescent="0.35">
      <c r="B41" s="10">
        <v>6</v>
      </c>
      <c r="C41" s="10">
        <v>6</v>
      </c>
      <c r="D41" s="2">
        <v>1.6</v>
      </c>
      <c r="E41" s="2">
        <v>0.32</v>
      </c>
      <c r="F41" s="2">
        <v>0.46700000000000003</v>
      </c>
      <c r="G41">
        <f t="shared" ref="G41" si="4">AVERAGE(F41:F42)</f>
        <v>0.38350000000000001</v>
      </c>
      <c r="H41">
        <f t="shared" si="2"/>
        <v>0.40449999999999997</v>
      </c>
      <c r="I41">
        <f>AVERAGE(D40:D41)*1</f>
        <v>1.9000000000000001</v>
      </c>
      <c r="J41">
        <f t="shared" si="0"/>
        <v>0.76854999999999996</v>
      </c>
    </row>
    <row r="42" spans="2:10" ht="15" thickBot="1" x14ac:dyDescent="0.35">
      <c r="B42" s="11">
        <v>6</v>
      </c>
      <c r="C42" s="11">
        <v>6</v>
      </c>
      <c r="D42" s="2">
        <v>1.6</v>
      </c>
      <c r="E42" s="2">
        <v>1.28</v>
      </c>
      <c r="F42" s="2">
        <v>0.3</v>
      </c>
    </row>
    <row r="43" spans="2:10" ht="15" thickBot="1" x14ac:dyDescent="0.35">
      <c r="B43" s="10">
        <v>7</v>
      </c>
      <c r="C43" s="10">
        <v>7</v>
      </c>
      <c r="D43" s="2">
        <v>1.2</v>
      </c>
      <c r="E43" s="2">
        <v>0.24</v>
      </c>
      <c r="F43" s="2">
        <v>0.3</v>
      </c>
      <c r="G43">
        <f t="shared" ref="G43" si="5">AVERAGE(F43:F44)</f>
        <v>0.25</v>
      </c>
      <c r="H43">
        <f t="shared" si="2"/>
        <v>0.31674999999999998</v>
      </c>
      <c r="I43">
        <f>AVERAGE(D42:D43)*1</f>
        <v>1.4</v>
      </c>
      <c r="J43">
        <f t="shared" si="0"/>
        <v>0.44344999999999996</v>
      </c>
    </row>
    <row r="44" spans="2:10" ht="15" thickBot="1" x14ac:dyDescent="0.35">
      <c r="B44" s="11">
        <v>7</v>
      </c>
      <c r="C44" s="11">
        <v>7</v>
      </c>
      <c r="D44" s="2">
        <v>1.2</v>
      </c>
      <c r="E44" s="2">
        <v>0.96</v>
      </c>
      <c r="F44" s="2">
        <v>0.2</v>
      </c>
    </row>
    <row r="45" spans="2:10" ht="15" thickBot="1" x14ac:dyDescent="0.35">
      <c r="B45" s="2">
        <v>8</v>
      </c>
      <c r="C45" s="2">
        <v>8</v>
      </c>
      <c r="D45" s="2">
        <v>0.6</v>
      </c>
      <c r="E45" s="2">
        <v>0.36</v>
      </c>
      <c r="F45" s="2">
        <v>0.2</v>
      </c>
      <c r="G45">
        <f t="shared" ref="G45" si="6">AVERAGE(F45:F46)</f>
        <v>0.2</v>
      </c>
      <c r="H45">
        <f>AVERAGE(G43:G45)</f>
        <v>0.22500000000000001</v>
      </c>
      <c r="I45">
        <f>AVERAGE(D44:D45)*1</f>
        <v>0.89999999999999991</v>
      </c>
      <c r="J45">
        <f t="shared" si="0"/>
        <v>0.20249999999999999</v>
      </c>
    </row>
    <row r="46" spans="2:10" ht="15" thickBot="1" x14ac:dyDescent="0.35">
      <c r="B46" s="2">
        <v>9</v>
      </c>
      <c r="C46" s="2">
        <v>9</v>
      </c>
      <c r="D46" s="2">
        <v>0</v>
      </c>
      <c r="E46" s="2">
        <v>0</v>
      </c>
      <c r="F46" s="2" t="s">
        <v>22</v>
      </c>
      <c r="H46" s="15">
        <v>0.2</v>
      </c>
      <c r="I46">
        <f>D45/2</f>
        <v>0.3</v>
      </c>
      <c r="J46">
        <f>I46*F45</f>
        <v>0.06</v>
      </c>
    </row>
    <row r="47" spans="2:10" x14ac:dyDescent="0.3">
      <c r="I47">
        <f>SUM(I32:I46)</f>
        <v>13.600000000000001</v>
      </c>
      <c r="J47">
        <f>SUM(J32:J46)</f>
        <v>5.347575</v>
      </c>
    </row>
    <row r="49" spans="3:8" x14ac:dyDescent="0.3">
      <c r="C49" t="s">
        <v>27</v>
      </c>
      <c r="G49" s="13">
        <v>1</v>
      </c>
      <c r="H49" s="14"/>
    </row>
    <row r="50" spans="3:8" x14ac:dyDescent="0.3">
      <c r="G50">
        <f>SQRT((1+(G49*G49)))</f>
        <v>1.4142135623730951</v>
      </c>
    </row>
  </sheetData>
  <mergeCells count="15">
    <mergeCell ref="C43:C44"/>
    <mergeCell ref="B35:B36"/>
    <mergeCell ref="B37:B38"/>
    <mergeCell ref="B39:B40"/>
    <mergeCell ref="B41:B42"/>
    <mergeCell ref="B43:B44"/>
    <mergeCell ref="C33:C34"/>
    <mergeCell ref="C35:C36"/>
    <mergeCell ref="C37:C38"/>
    <mergeCell ref="C39:C40"/>
    <mergeCell ref="C41:C42"/>
    <mergeCell ref="K3:O5"/>
    <mergeCell ref="K6:O8"/>
    <mergeCell ref="K9:O11"/>
    <mergeCell ref="B33:B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F8C2-733A-4406-BAF8-842F8951922F}">
  <dimension ref="B2:D19"/>
  <sheetViews>
    <sheetView tabSelected="1" zoomScale="85" zoomScaleNormal="85" workbookViewId="0">
      <selection activeCell="I20" sqref="I19:I20"/>
    </sheetView>
  </sheetViews>
  <sheetFormatPr baseColWidth="10" defaultRowHeight="14.4" x14ac:dyDescent="0.3"/>
  <sheetData>
    <row r="2" spans="2:4" x14ac:dyDescent="0.3">
      <c r="B2" t="s">
        <v>28</v>
      </c>
      <c r="C2" t="s">
        <v>16</v>
      </c>
      <c r="D2">
        <v>3</v>
      </c>
    </row>
    <row r="3" spans="2:4" x14ac:dyDescent="0.3">
      <c r="C3" t="s">
        <v>12</v>
      </c>
      <c r="D3">
        <v>1</v>
      </c>
    </row>
    <row r="4" spans="2:4" x14ac:dyDescent="0.3">
      <c r="C4" t="s">
        <v>11</v>
      </c>
      <c r="D4">
        <f>+D3*D2</f>
        <v>3</v>
      </c>
    </row>
    <row r="5" spans="2:4" x14ac:dyDescent="0.3">
      <c r="C5" t="s">
        <v>32</v>
      </c>
      <c r="D5">
        <v>3</v>
      </c>
    </row>
    <row r="6" spans="2:4" x14ac:dyDescent="0.3">
      <c r="C6" t="s">
        <v>31</v>
      </c>
      <c r="D6">
        <f>+D2+2*D3</f>
        <v>5</v>
      </c>
    </row>
    <row r="7" spans="2:4" x14ac:dyDescent="0.3">
      <c r="C7" t="s">
        <v>29</v>
      </c>
      <c r="D7">
        <f>+D4/D6</f>
        <v>0.6</v>
      </c>
    </row>
    <row r="8" spans="2:4" x14ac:dyDescent="0.3">
      <c r="C8" t="s">
        <v>30</v>
      </c>
      <c r="D8">
        <f>+D4/D5</f>
        <v>1</v>
      </c>
    </row>
    <row r="10" spans="2:4" x14ac:dyDescent="0.3">
      <c r="B10" t="s">
        <v>33</v>
      </c>
      <c r="C10" t="s">
        <v>16</v>
      </c>
      <c r="D10">
        <v>3</v>
      </c>
    </row>
    <row r="11" spans="2:4" x14ac:dyDescent="0.3">
      <c r="C11" t="s">
        <v>12</v>
      </c>
      <c r="D11">
        <v>1</v>
      </c>
    </row>
    <row r="12" spans="2:4" x14ac:dyDescent="0.3">
      <c r="C12" t="s">
        <v>34</v>
      </c>
      <c r="D12">
        <v>45</v>
      </c>
    </row>
    <row r="13" spans="2:4" x14ac:dyDescent="0.3">
      <c r="C13" t="s">
        <v>36</v>
      </c>
      <c r="D13">
        <f>D11/TAN(RADIANS(45))</f>
        <v>1</v>
      </c>
    </row>
    <row r="14" spans="2:4" x14ac:dyDescent="0.3">
      <c r="C14" t="s">
        <v>35</v>
      </c>
      <c r="D14">
        <f>D11/SIN(RADIANS(45))</f>
        <v>1.4142135623730951</v>
      </c>
    </row>
    <row r="15" spans="2:4" x14ac:dyDescent="0.3">
      <c r="C15" t="s">
        <v>32</v>
      </c>
      <c r="D15">
        <f>D10+2*D13</f>
        <v>5</v>
      </c>
    </row>
    <row r="16" spans="2:4" x14ac:dyDescent="0.3">
      <c r="C16" t="s">
        <v>37</v>
      </c>
      <c r="D16">
        <f>+D10+2*D14</f>
        <v>5.8284271247461898</v>
      </c>
    </row>
    <row r="17" spans="3:4" x14ac:dyDescent="0.3">
      <c r="C17" t="s">
        <v>38</v>
      </c>
      <c r="D17">
        <f>(D10+D15)*D11/2</f>
        <v>4</v>
      </c>
    </row>
    <row r="18" spans="3:4" x14ac:dyDescent="0.3">
      <c r="C18" t="s">
        <v>29</v>
      </c>
      <c r="D18">
        <f>+D17/D16</f>
        <v>0.68629150101523961</v>
      </c>
    </row>
    <row r="19" spans="3:4" x14ac:dyDescent="0.3">
      <c r="C19" t="s">
        <v>30</v>
      </c>
      <c r="D19">
        <f>+D17/D15</f>
        <v>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Tutorial 1</vt:lpstr>
      <vt:lpstr>Tutorial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Guerrero</dc:creator>
  <cp:lastModifiedBy>49717116, 05e9d25e</cp:lastModifiedBy>
  <dcterms:created xsi:type="dcterms:W3CDTF">2015-06-05T18:17:20Z</dcterms:created>
  <dcterms:modified xsi:type="dcterms:W3CDTF">2026-02-16T20:48:22Z</dcterms:modified>
</cp:coreProperties>
</file>