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kh110a\Downloads\"/>
    </mc:Choice>
  </mc:AlternateContent>
  <xr:revisionPtr revIDLastSave="0" documentId="13_ncr:1_{DF405754-C31F-4BF6-A481-92199AA8BACB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Übung 04 - Flussbau" sheetId="1" r:id="rId1"/>
  </sheets>
  <definedNames>
    <definedName name="_xlnm.Print_Area" localSheetId="0">'Übung 04 - Flussbau'!$A$1:$K$415</definedName>
    <definedName name="q" localSheetId="0">'Übung 04 - Flussbau'!$A$1:$K$415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7" i="1" l="1"/>
  <c r="I238" i="1"/>
  <c r="I239" i="1"/>
  <c r="I236" i="1"/>
  <c r="H239" i="1"/>
  <c r="H237" i="1"/>
  <c r="S236" i="1"/>
  <c r="G153" i="1"/>
  <c r="H400" i="1"/>
  <c r="F391" i="1"/>
  <c r="H393" i="1" l="1"/>
  <c r="F340" i="1"/>
  <c r="R91" i="1"/>
  <c r="R90" i="1"/>
  <c r="R89" i="1"/>
  <c r="R88" i="1"/>
  <c r="G198" i="1" l="1"/>
  <c r="H413" i="1" l="1"/>
  <c r="F413" i="1"/>
  <c r="H412" i="1"/>
  <c r="F412" i="1"/>
  <c r="H411" i="1"/>
  <c r="F411" i="1"/>
  <c r="H410" i="1"/>
  <c r="F410" i="1"/>
  <c r="H409" i="1"/>
  <c r="F409" i="1"/>
  <c r="F408" i="1"/>
  <c r="I408" i="1" s="1"/>
  <c r="F400" i="1"/>
  <c r="I400" i="1" s="1"/>
  <c r="H399" i="1"/>
  <c r="F399" i="1"/>
  <c r="H398" i="1"/>
  <c r="F398" i="1"/>
  <c r="H397" i="1"/>
  <c r="F397" i="1"/>
  <c r="H396" i="1"/>
  <c r="F396" i="1"/>
  <c r="H395" i="1"/>
  <c r="F395" i="1"/>
  <c r="H394" i="1"/>
  <c r="F394" i="1"/>
  <c r="F393" i="1"/>
  <c r="F392" i="1"/>
  <c r="F343" i="1"/>
  <c r="D343" i="1"/>
  <c r="F342" i="1"/>
  <c r="F341" i="1"/>
  <c r="D341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C238" i="1"/>
  <c r="F237" i="1"/>
  <c r="E237" i="1"/>
  <c r="C236" i="1"/>
  <c r="G200" i="1"/>
  <c r="I200" i="1" s="1"/>
  <c r="H238" i="1" s="1"/>
  <c r="I198" i="1"/>
  <c r="H236" i="1" s="1"/>
  <c r="G191" i="1"/>
  <c r="I191" i="1" s="1"/>
  <c r="G189" i="1"/>
  <c r="G236" i="1" s="1"/>
  <c r="E340" i="1" s="1"/>
  <c r="G161" i="1"/>
  <c r="J138" i="1" s="1"/>
  <c r="G159" i="1"/>
  <c r="H138" i="1" s="1"/>
  <c r="G155" i="1"/>
  <c r="J137" i="1" s="1"/>
  <c r="H137" i="1"/>
  <c r="D139" i="1"/>
  <c r="T107" i="1"/>
  <c r="R107" i="1"/>
  <c r="S107" i="1" s="1"/>
  <c r="T106" i="1"/>
  <c r="R106" i="1"/>
  <c r="S106" i="1" s="1"/>
  <c r="T105" i="1"/>
  <c r="R105" i="1"/>
  <c r="S105" i="1" s="1"/>
  <c r="T104" i="1"/>
  <c r="R104" i="1"/>
  <c r="S104" i="1" s="1"/>
  <c r="T103" i="1"/>
  <c r="R103" i="1"/>
  <c r="S103" i="1" s="1"/>
  <c r="T102" i="1"/>
  <c r="R102" i="1"/>
  <c r="S102" i="1" s="1"/>
  <c r="R96" i="1"/>
  <c r="S96" i="1" s="1"/>
  <c r="T95" i="1"/>
  <c r="U96" i="1" s="1"/>
  <c r="R95" i="1"/>
  <c r="S95" i="1" s="1"/>
  <c r="T94" i="1"/>
  <c r="R94" i="1"/>
  <c r="S94" i="1" s="1"/>
  <c r="T93" i="1"/>
  <c r="R93" i="1"/>
  <c r="S93" i="1" s="1"/>
  <c r="T92" i="1"/>
  <c r="R92" i="1"/>
  <c r="S92" i="1" s="1"/>
  <c r="T91" i="1"/>
  <c r="S91" i="1"/>
  <c r="T90" i="1"/>
  <c r="S90" i="1"/>
  <c r="T89" i="1"/>
  <c r="U90" i="1" s="1"/>
  <c r="S89" i="1"/>
  <c r="T88" i="1"/>
  <c r="S88" i="1"/>
  <c r="T87" i="1"/>
  <c r="R87" i="1"/>
  <c r="S87" i="1" s="1"/>
  <c r="U88" i="1" l="1"/>
  <c r="V88" i="1" s="1"/>
  <c r="V87" i="1"/>
  <c r="G237" i="1"/>
  <c r="G240" i="1"/>
  <c r="H240" i="1" s="1"/>
  <c r="I240" i="1" s="1"/>
  <c r="G242" i="1"/>
  <c r="E344" i="1" s="1"/>
  <c r="I393" i="1"/>
  <c r="I395" i="1"/>
  <c r="I397" i="1"/>
  <c r="G244" i="1"/>
  <c r="H244" i="1" s="1"/>
  <c r="I244" i="1" s="1"/>
  <c r="F346" i="1" s="1"/>
  <c r="G246" i="1"/>
  <c r="E348" i="1" s="1"/>
  <c r="I410" i="1"/>
  <c r="E341" i="1"/>
  <c r="G341" i="1" s="1"/>
  <c r="I341" i="1" s="1"/>
  <c r="I411" i="1"/>
  <c r="U91" i="1"/>
  <c r="V91" i="1" s="1"/>
  <c r="U95" i="1"/>
  <c r="V95" i="1" s="1"/>
  <c r="U94" i="1"/>
  <c r="V94" i="1" s="1"/>
  <c r="U105" i="1"/>
  <c r="V105" i="1" s="1"/>
  <c r="G249" i="1"/>
  <c r="E351" i="1" s="1"/>
  <c r="G351" i="1" s="1"/>
  <c r="I351" i="1" s="1"/>
  <c r="I399" i="1"/>
  <c r="U104" i="1"/>
  <c r="V104" i="1" s="1"/>
  <c r="I394" i="1"/>
  <c r="I396" i="1"/>
  <c r="I409" i="1"/>
  <c r="I412" i="1"/>
  <c r="V90" i="1"/>
  <c r="U89" i="1"/>
  <c r="V89" i="1" s="1"/>
  <c r="U103" i="1"/>
  <c r="V103" i="1" s="1"/>
  <c r="G241" i="1"/>
  <c r="H241" i="1" s="1"/>
  <c r="I241" i="1" s="1"/>
  <c r="G243" i="1"/>
  <c r="E345" i="1" s="1"/>
  <c r="H345" i="1" s="1"/>
  <c r="J345" i="1" s="1"/>
  <c r="G250" i="1"/>
  <c r="E352" i="1" s="1"/>
  <c r="G352" i="1" s="1"/>
  <c r="I398" i="1"/>
  <c r="I413" i="1"/>
  <c r="V96" i="1"/>
  <c r="U93" i="1"/>
  <c r="V93" i="1" s="1"/>
  <c r="U92" i="1"/>
  <c r="V92" i="1" s="1"/>
  <c r="H139" i="1"/>
  <c r="I189" i="1"/>
  <c r="U107" i="1"/>
  <c r="V107" i="1" s="1"/>
  <c r="U106" i="1"/>
  <c r="V106" i="1" s="1"/>
  <c r="V102" i="1"/>
  <c r="G238" i="1"/>
  <c r="G247" i="1"/>
  <c r="E349" i="1" s="1"/>
  <c r="J139" i="1"/>
  <c r="G239" i="1"/>
  <c r="E343" i="1" s="1"/>
  <c r="G245" i="1"/>
  <c r="G248" i="1"/>
  <c r="E350" i="1" s="1"/>
  <c r="G251" i="1"/>
  <c r="H251" i="1" s="1"/>
  <c r="I251" i="1" s="1"/>
  <c r="F353" i="1" s="1"/>
  <c r="F139" i="1"/>
  <c r="E346" i="1"/>
  <c r="H242" i="1" l="1"/>
  <c r="I242" i="1" s="1"/>
  <c r="F344" i="1" s="1"/>
  <c r="G345" i="1"/>
  <c r="I345" i="1" s="1"/>
  <c r="H243" i="1"/>
  <c r="I243" i="1" s="1"/>
  <c r="F345" i="1" s="1"/>
  <c r="H246" i="1"/>
  <c r="I246" i="1" s="1"/>
  <c r="F348" i="1" s="1"/>
  <c r="I414" i="1"/>
  <c r="H250" i="1"/>
  <c r="I250" i="1" s="1"/>
  <c r="F352" i="1" s="1"/>
  <c r="H249" i="1"/>
  <c r="I249" i="1" s="1"/>
  <c r="F351" i="1" s="1"/>
  <c r="H248" i="1"/>
  <c r="I248" i="1" s="1"/>
  <c r="F350" i="1" s="1"/>
  <c r="H247" i="1"/>
  <c r="I247" i="1" s="1"/>
  <c r="F349" i="1" s="1"/>
  <c r="H344" i="1"/>
  <c r="J344" i="1" s="1"/>
  <c r="G344" i="1"/>
  <c r="I344" i="1" s="1"/>
  <c r="E353" i="1"/>
  <c r="E347" i="1"/>
  <c r="H245" i="1"/>
  <c r="I245" i="1" s="1"/>
  <c r="F347" i="1" s="1"/>
  <c r="G313" i="1"/>
  <c r="E342" i="1"/>
  <c r="G315" i="1"/>
  <c r="G340" i="1"/>
  <c r="G304" i="1"/>
  <c r="G302" i="1"/>
  <c r="V97" i="1"/>
  <c r="G343" i="1"/>
  <c r="I343" i="1" s="1"/>
  <c r="H343" i="1"/>
  <c r="J343" i="1" s="1"/>
  <c r="V108" i="1"/>
  <c r="G349" i="1"/>
  <c r="I349" i="1" s="1"/>
  <c r="H348" i="1"/>
  <c r="J348" i="1" s="1"/>
  <c r="G348" i="1"/>
  <c r="I348" i="1" s="1"/>
  <c r="I352" i="1"/>
  <c r="H346" i="1"/>
  <c r="J346" i="1" s="1"/>
  <c r="G346" i="1"/>
  <c r="I346" i="1" s="1"/>
  <c r="G350" i="1"/>
  <c r="I350" i="1" s="1"/>
  <c r="H347" i="1" l="1"/>
  <c r="J347" i="1" s="1"/>
  <c r="G347" i="1"/>
  <c r="I347" i="1" s="1"/>
  <c r="G307" i="1"/>
  <c r="I307" i="1" s="1"/>
  <c r="D236" i="1" s="1"/>
  <c r="G308" i="1"/>
  <c r="G319" i="1"/>
  <c r="G318" i="1"/>
  <c r="D238" i="1" s="1"/>
  <c r="H342" i="1"/>
  <c r="G342" i="1"/>
  <c r="I342" i="1" s="1"/>
  <c r="D340" i="1" l="1"/>
  <c r="E236" i="1"/>
  <c r="F236" i="1"/>
  <c r="D342" i="1"/>
  <c r="F238" i="1"/>
  <c r="E238" i="1"/>
  <c r="I391" i="1"/>
  <c r="H392" i="1"/>
  <c r="I392" i="1" s="1"/>
  <c r="I401" i="1" l="1"/>
</calcChain>
</file>

<file path=xl/sharedStrings.xml><?xml version="1.0" encoding="utf-8"?>
<sst xmlns="http://schemas.openxmlformats.org/spreadsheetml/2006/main" count="324" uniqueCount="130">
  <si>
    <t>=</t>
  </si>
  <si>
    <t>[m]</t>
  </si>
  <si>
    <r>
      <t>h</t>
    </r>
    <r>
      <rPr>
        <vertAlign val="subscript"/>
        <sz val="11"/>
        <color theme="1"/>
        <rFont val="Arial"/>
        <family val="2"/>
      </rPr>
      <t>max</t>
    </r>
  </si>
  <si>
    <t>m</t>
  </si>
  <si>
    <r>
      <t>[m</t>
    </r>
    <r>
      <rPr>
        <vertAlign val="superscript"/>
        <sz val="11"/>
        <color theme="1"/>
        <rFont val="Arial"/>
        <family val="2"/>
      </rPr>
      <t>1/3</t>
    </r>
    <r>
      <rPr>
        <sz val="11"/>
        <color theme="1"/>
        <rFont val="Arial"/>
        <family val="2"/>
      </rPr>
      <t>/s]</t>
    </r>
  </si>
  <si>
    <t>[kg/m³]</t>
  </si>
  <si>
    <t>1.</t>
  </si>
  <si>
    <r>
      <t>I</t>
    </r>
    <r>
      <rPr>
        <vertAlign val="subscript"/>
        <sz val="11"/>
        <color theme="1"/>
        <rFont val="Arial"/>
        <family val="2"/>
      </rPr>
      <t>S</t>
    </r>
  </si>
  <si>
    <r>
      <t>I</t>
    </r>
    <r>
      <rPr>
        <vertAlign val="subscript"/>
        <sz val="11"/>
        <color theme="1"/>
        <rFont val="Arial"/>
        <family val="2"/>
      </rPr>
      <t>E</t>
    </r>
  </si>
  <si>
    <t>[‰]</t>
  </si>
  <si>
    <t>-</t>
  </si>
  <si>
    <t>Ü-tage</t>
  </si>
  <si>
    <t>Q</t>
  </si>
  <si>
    <t>[d]</t>
  </si>
  <si>
    <t>[m³/s]</t>
  </si>
  <si>
    <r>
      <t>d</t>
    </r>
    <r>
      <rPr>
        <vertAlign val="subscript"/>
        <sz val="11"/>
        <color theme="1"/>
        <rFont val="Arial"/>
        <family val="2"/>
      </rPr>
      <t>65,2</t>
    </r>
  </si>
  <si>
    <t>[cm]</t>
  </si>
  <si>
    <t>•</t>
  </si>
  <si>
    <t>(Shields)</t>
  </si>
  <si>
    <t>(Hjulström/Dou Go-Zen)</t>
  </si>
  <si>
    <r>
      <t>d</t>
    </r>
    <r>
      <rPr>
        <b/>
        <vertAlign val="subscript"/>
        <sz val="11"/>
        <color theme="1"/>
        <rFont val="Arial"/>
        <family val="2"/>
      </rPr>
      <t>65,2</t>
    </r>
  </si>
  <si>
    <r>
      <t>d</t>
    </r>
    <r>
      <rPr>
        <b/>
        <vertAlign val="subscript"/>
        <sz val="11"/>
        <color theme="1"/>
        <rFont val="Arial"/>
        <family val="2"/>
      </rPr>
      <t>65,3a</t>
    </r>
  </si>
  <si>
    <t>Dou Go-Zen</t>
  </si>
  <si>
    <t>Hjulström</t>
  </si>
  <si>
    <t>Meyer-Peter</t>
  </si>
  <si>
    <t>Dou Go-Zen/Hjulström:</t>
  </si>
  <si>
    <t>Dou Go-Zen:</t>
  </si>
  <si>
    <r>
      <t>r</t>
    </r>
    <r>
      <rPr>
        <vertAlign val="subscript"/>
        <sz val="11"/>
        <color theme="1"/>
        <rFont val="Arial"/>
        <family val="2"/>
      </rPr>
      <t>hy,2</t>
    </r>
  </si>
  <si>
    <r>
      <t>r</t>
    </r>
    <r>
      <rPr>
        <vertAlign val="subscript"/>
        <sz val="11"/>
        <color theme="1"/>
        <rFont val="Arial"/>
        <family val="2"/>
      </rPr>
      <t>hy,3a</t>
    </r>
  </si>
  <si>
    <t>Hjulström:</t>
  </si>
  <si>
    <t>Meyer-Peter/Müller:</t>
  </si>
  <si>
    <t>mit:</t>
  </si>
  <si>
    <r>
      <t>v</t>
    </r>
    <r>
      <rPr>
        <vertAlign val="subscript"/>
        <sz val="11"/>
        <color theme="1"/>
        <rFont val="Arial"/>
        <family val="2"/>
      </rPr>
      <t>m,2</t>
    </r>
  </si>
  <si>
    <r>
      <t>v</t>
    </r>
    <r>
      <rPr>
        <vertAlign val="subscript"/>
        <sz val="11"/>
        <color theme="1"/>
        <rFont val="Arial"/>
        <family val="2"/>
      </rPr>
      <t>m,3a</t>
    </r>
  </si>
  <si>
    <r>
      <t>d</t>
    </r>
    <r>
      <rPr>
        <vertAlign val="subscript"/>
        <sz val="11"/>
        <color theme="1"/>
        <rFont val="Arial"/>
        <family val="2"/>
      </rPr>
      <t>65,3a</t>
    </r>
  </si>
  <si>
    <t>h</t>
  </si>
  <si>
    <t>A</t>
  </si>
  <si>
    <t>Nr.</t>
  </si>
  <si>
    <t>[m²]</t>
  </si>
  <si>
    <t>[m/s]</t>
  </si>
  <si>
    <r>
      <t>d</t>
    </r>
    <r>
      <rPr>
        <b/>
        <vertAlign val="subscript"/>
        <sz val="11"/>
        <color theme="1"/>
        <rFont val="Arial"/>
        <family val="2"/>
      </rPr>
      <t>65</t>
    </r>
  </si>
  <si>
    <r>
      <t>l</t>
    </r>
    <r>
      <rPr>
        <b/>
        <vertAlign val="subscript"/>
        <sz val="11"/>
        <color theme="1"/>
        <rFont val="Arial"/>
        <family val="2"/>
      </rPr>
      <t>U</t>
    </r>
  </si>
  <si>
    <r>
      <t>r</t>
    </r>
    <r>
      <rPr>
        <b/>
        <vertAlign val="subscript"/>
        <sz val="11"/>
        <color theme="1"/>
        <rFont val="Arial"/>
        <family val="2"/>
      </rPr>
      <t>hy</t>
    </r>
  </si>
  <si>
    <r>
      <t>v</t>
    </r>
    <r>
      <rPr>
        <b/>
        <vertAlign val="subscript"/>
        <sz val="11"/>
        <color theme="1"/>
        <rFont val="Arial"/>
        <family val="2"/>
      </rPr>
      <t>m</t>
    </r>
  </si>
  <si>
    <t>3a</t>
  </si>
  <si>
    <t>2.</t>
  </si>
  <si>
    <t>3.</t>
  </si>
  <si>
    <t>p</t>
  </si>
  <si>
    <t>q</t>
  </si>
  <si>
    <r>
      <t>h</t>
    </r>
    <r>
      <rPr>
        <vertAlign val="subscript"/>
        <sz val="11"/>
        <color theme="1"/>
        <rFont val="Arial"/>
        <family val="2"/>
      </rPr>
      <t>1</t>
    </r>
  </si>
  <si>
    <r>
      <t>h</t>
    </r>
    <r>
      <rPr>
        <vertAlign val="subscript"/>
        <sz val="11"/>
        <color theme="1"/>
        <rFont val="Arial"/>
        <family val="2"/>
      </rPr>
      <t>2</t>
    </r>
  </si>
  <si>
    <t>4.</t>
  </si>
  <si>
    <t>[kg/s]</t>
  </si>
  <si>
    <r>
      <t>m°</t>
    </r>
    <r>
      <rPr>
        <b/>
        <vertAlign val="subscript"/>
        <sz val="11"/>
        <color theme="1"/>
        <rFont val="Arial"/>
        <family val="2"/>
      </rPr>
      <t>G</t>
    </r>
  </si>
  <si>
    <r>
      <t>m</t>
    </r>
    <r>
      <rPr>
        <b/>
        <vertAlign val="subscript"/>
        <sz val="11"/>
        <color theme="1"/>
        <rFont val="Arial"/>
        <family val="2"/>
      </rPr>
      <t>G</t>
    </r>
  </si>
  <si>
    <t>[kg/m*s]</t>
  </si>
  <si>
    <t>SL 2</t>
  </si>
  <si>
    <t>SL 3a</t>
  </si>
  <si>
    <t>» 0,000</t>
  </si>
  <si>
    <t>Mittelwert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</si>
  <si>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Arial"/>
        <family val="2"/>
      </rPr>
      <t>t</t>
    </r>
  </si>
  <si>
    <r>
      <t>m</t>
    </r>
    <r>
      <rPr>
        <b/>
        <vertAlign val="subscript"/>
        <sz val="11"/>
        <color theme="1"/>
        <rFont val="Arial"/>
        <family val="2"/>
      </rPr>
      <t>F</t>
    </r>
  </si>
  <si>
    <t>[ - ]</t>
  </si>
  <si>
    <t>[s]</t>
  </si>
  <si>
    <t>[t]</t>
  </si>
  <si>
    <t>Summe =</t>
  </si>
  <si>
    <t>rhy</t>
  </si>
  <si>
    <t>m°G</t>
  </si>
  <si>
    <t>Total</t>
  </si>
  <si>
    <t>Task:</t>
  </si>
  <si>
    <t>Calculate the total sediment load of the following cross section. You can expect uniform and steady flow.</t>
  </si>
  <si>
    <t>The mean longitudinal slope is about 3 ‰. The stone-density can be assumed to 2650 kg/m³.</t>
  </si>
  <si>
    <t>Cross Section:</t>
  </si>
  <si>
    <t>Tutorial 4: Sediment Transport</t>
  </si>
  <si>
    <t xml:space="preserve">Open Channel </t>
  </si>
  <si>
    <t>Figure 1: Sketch of the cross section</t>
  </si>
  <si>
    <t>b</t>
  </si>
  <si>
    <t>1/n</t>
  </si>
  <si>
    <t>Given:</t>
  </si>
  <si>
    <t>Channel width</t>
  </si>
  <si>
    <t>max. Water depth</t>
  </si>
  <si>
    <t>Side slope</t>
  </si>
  <si>
    <t>Manning-Strickler coefficient:</t>
  </si>
  <si>
    <t>Stone-Density:</t>
  </si>
  <si>
    <t>The flow is steady and uniform thus:</t>
  </si>
  <si>
    <t>Note:</t>
  </si>
  <si>
    <t>Steady flow means that there are no changes in the flow rate: Inflow=Outflow</t>
  </si>
  <si>
    <t>Steady flow</t>
  </si>
  <si>
    <t>Uniform flow</t>
  </si>
  <si>
    <t xml:space="preserve">Uniform means that there are no changes in the geometry of the cross section </t>
  </si>
  <si>
    <t>(no enlargement or contraction of the channel cross section)</t>
  </si>
  <si>
    <t>Hydrological input data:</t>
  </si>
  <si>
    <t>Duration of exeedance</t>
  </si>
  <si>
    <t>Morphological input data:</t>
  </si>
  <si>
    <t>Discharge Q</t>
  </si>
  <si>
    <t>characteristic grain diameter grading curve (GC) 2</t>
  </si>
  <si>
    <t>characteristic grain diameter GC 3a</t>
  </si>
  <si>
    <t>Start of bedload transport:</t>
  </si>
  <si>
    <t>"Concept of Critical velocity"</t>
  </si>
  <si>
    <t>"Concept of Critical shear stress"</t>
  </si>
  <si>
    <t>Determination of characteristic values for the beginning of sediment transport:</t>
  </si>
  <si>
    <t>calculated</t>
  </si>
  <si>
    <t>read off</t>
  </si>
  <si>
    <t>(by using the flow formula of Gauckler-Manning-Strickler)</t>
  </si>
  <si>
    <t>(by using comparison of bed shear stresses)</t>
  </si>
  <si>
    <r>
      <rPr>
        <sz val="11"/>
        <color theme="1"/>
        <rFont val="Arial"/>
        <family val="2"/>
      </rPr>
      <t>ρ</t>
    </r>
    <r>
      <rPr>
        <vertAlign val="subscript"/>
        <sz val="11"/>
        <color theme="1"/>
        <rFont val="Arial"/>
        <family val="2"/>
      </rPr>
      <t>S</t>
    </r>
  </si>
  <si>
    <t>Determination of the rating-curve Q=f(H) using the Meyer-Peter/Müller values:</t>
  </si>
  <si>
    <t>Discharge-equation of Gauckler-Manning-Strickler</t>
  </si>
  <si>
    <t>GC</t>
  </si>
  <si>
    <t>Determine the associated water depth h by solving a quadratic equation.</t>
  </si>
  <si>
    <t>Enter the mean velocities for the d65 of the respective grading curve.</t>
  </si>
  <si>
    <t>Solution of the quadratic equation:</t>
  </si>
  <si>
    <t>Grading curve 2:</t>
  </si>
  <si>
    <t>do not consider</t>
  </si>
  <si>
    <t>Grading curve 3a:</t>
  </si>
  <si>
    <t>Adding the two missing water depth to refine the rating-curve</t>
  </si>
  <si>
    <t>Calculation of flow area, wetted perimeter, hydraulic radius, mean velocity and discharge.</t>
  </si>
  <si>
    <t>GC 2</t>
  </si>
  <si>
    <t>GC 3a</t>
  </si>
  <si>
    <r>
      <t>Bedload for d</t>
    </r>
    <r>
      <rPr>
        <i/>
        <u/>
        <vertAlign val="subscript"/>
        <sz val="11"/>
        <color theme="1"/>
        <rFont val="Arial"/>
        <family val="2"/>
      </rPr>
      <t>65,2</t>
    </r>
    <r>
      <rPr>
        <i/>
        <u/>
        <sz val="11"/>
        <color theme="1"/>
        <rFont val="Arial"/>
        <family val="2"/>
      </rPr>
      <t xml:space="preserve"> = 1,5 cm:</t>
    </r>
  </si>
  <si>
    <t>Calculation of total bedload:</t>
  </si>
  <si>
    <t>Sediment transport rate using Meyer-Peter/Müller</t>
  </si>
  <si>
    <t>Sediment transport rate:</t>
  </si>
  <si>
    <t>Coaxial Diagramm</t>
  </si>
  <si>
    <r>
      <t>Bedload for d</t>
    </r>
    <r>
      <rPr>
        <i/>
        <u/>
        <vertAlign val="subscript"/>
        <sz val="11"/>
        <color theme="1"/>
        <rFont val="Arial"/>
        <family val="2"/>
      </rPr>
      <t>65,3a</t>
    </r>
    <r>
      <rPr>
        <i/>
        <u/>
        <sz val="11"/>
        <color theme="1"/>
        <rFont val="Arial"/>
        <family val="2"/>
      </rPr>
      <t xml:space="preserve"> = 2,0 cm:</t>
    </r>
  </si>
  <si>
    <t>Status 2022</t>
  </si>
  <si>
    <t>mean</t>
  </si>
  <si>
    <t>critical velocity   [cm/s]</t>
  </si>
  <si>
    <t>hydraulic Radius   [cm]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</si>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</sst>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24"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i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sz val="11"/>
      <color rgb="FF92D050"/>
      <name val="Arial"/>
      <family val="2"/>
    </font>
    <font>
      <i/>
      <u/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sz val="11"/>
      <color rgb="FF009900"/>
      <name val="Arial"/>
      <family val="2"/>
    </font>
    <font>
      <i/>
      <u/>
      <vertAlign val="subscript"/>
      <sz val="11"/>
      <color theme="1"/>
      <name val="Arial"/>
      <family val="2"/>
    </font>
    <font>
      <b/>
      <sz val="11"/>
      <color theme="1"/>
      <name val="Symbol"/>
      <family val="1"/>
      <charset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Univers 45 Light"/>
    </font>
    <font>
      <sz val="10"/>
      <color theme="1"/>
      <name val="Calibri Light"/>
      <family val="2"/>
    </font>
    <font>
      <i/>
      <sz val="9"/>
      <color theme="1"/>
      <name val="Calibri Light"/>
      <family val="2"/>
    </font>
    <font>
      <b/>
      <sz val="6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/>
    <xf numFmtId="1" fontId="2" fillId="4" borderId="0" xfId="0" applyNumberFormat="1" applyFont="1" applyFill="1" applyBorder="1" applyAlignment="1">
      <alignment horizontal="center"/>
    </xf>
    <xf numFmtId="0" fontId="4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3" borderId="0" xfId="0" applyFont="1" applyFill="1" applyBorder="1"/>
    <xf numFmtId="0" fontId="4" fillId="3" borderId="9" xfId="0" applyFont="1" applyFill="1" applyBorder="1"/>
    <xf numFmtId="0" fontId="4" fillId="3" borderId="8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0" borderId="0" xfId="0" applyFont="1"/>
    <xf numFmtId="0" fontId="4" fillId="3" borderId="0" xfId="0" applyFont="1" applyFill="1" applyBorder="1" applyAlignment="1">
      <alignment horizontal="right"/>
    </xf>
    <xf numFmtId="0" fontId="4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right"/>
    </xf>
    <xf numFmtId="0" fontId="2" fillId="4" borderId="0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right"/>
    </xf>
    <xf numFmtId="2" fontId="2" fillId="4" borderId="0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6" fillId="3" borderId="0" xfId="0" applyFont="1" applyFill="1" applyBorder="1"/>
    <xf numFmtId="2" fontId="2" fillId="5" borderId="0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164" fontId="4" fillId="3" borderId="11" xfId="0" applyNumberFormat="1" applyFont="1" applyFill="1" applyBorder="1" applyAlignment="1">
      <alignment horizontal="center"/>
    </xf>
    <xf numFmtId="164" fontId="4" fillId="3" borderId="12" xfId="0" applyNumberFormat="1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9" fillId="3" borderId="0" xfId="0" applyFont="1" applyFill="1" applyBorder="1"/>
    <xf numFmtId="0" fontId="4" fillId="3" borderId="12" xfId="0" applyFont="1" applyFill="1" applyBorder="1" applyAlignment="1">
      <alignment horizontal="center"/>
    </xf>
    <xf numFmtId="0" fontId="10" fillId="3" borderId="0" xfId="0" applyFont="1" applyFill="1" applyBorder="1"/>
    <xf numFmtId="2" fontId="11" fillId="3" borderId="0" xfId="0" applyNumberFormat="1" applyFont="1" applyFill="1" applyBorder="1"/>
    <xf numFmtId="0" fontId="11" fillId="3" borderId="0" xfId="0" applyFont="1" applyFill="1" applyBorder="1"/>
    <xf numFmtId="0" fontId="3" fillId="3" borderId="0" xfId="0" applyFont="1" applyFill="1" applyBorder="1" applyAlignment="1"/>
    <xf numFmtId="0" fontId="2" fillId="6" borderId="1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2" fontId="4" fillId="3" borderId="0" xfId="0" applyNumberFormat="1" applyFont="1" applyFill="1" applyBorder="1"/>
    <xf numFmtId="164" fontId="4" fillId="3" borderId="13" xfId="0" applyNumberFormat="1" applyFont="1" applyFill="1" applyBorder="1" applyAlignment="1">
      <alignment horizontal="center"/>
    </xf>
    <xf numFmtId="2" fontId="14" fillId="3" borderId="4" xfId="0" applyNumberFormat="1" applyFont="1" applyFill="1" applyBorder="1" applyAlignment="1">
      <alignment horizontal="center"/>
    </xf>
    <xf numFmtId="2" fontId="14" fillId="3" borderId="11" xfId="0" applyNumberFormat="1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2" fontId="12" fillId="3" borderId="11" xfId="0" applyNumberFormat="1" applyFont="1" applyFill="1" applyBorder="1" applyAlignment="1">
      <alignment horizontal="center"/>
    </xf>
    <xf numFmtId="164" fontId="4" fillId="3" borderId="15" xfId="0" applyNumberFormat="1" applyFont="1" applyFill="1" applyBorder="1" applyAlignment="1">
      <alignment horizontal="center"/>
    </xf>
    <xf numFmtId="2" fontId="12" fillId="3" borderId="9" xfId="0" applyNumberFormat="1" applyFont="1" applyFill="1" applyBorder="1" applyAlignment="1">
      <alignment horizontal="center"/>
    </xf>
    <xf numFmtId="2" fontId="14" fillId="3" borderId="12" xfId="0" applyNumberFormat="1" applyFont="1" applyFill="1" applyBorder="1" applyAlignment="1">
      <alignment horizontal="center"/>
    </xf>
    <xf numFmtId="2" fontId="14" fillId="3" borderId="9" xfId="0" applyNumberFormat="1" applyFont="1" applyFill="1" applyBorder="1" applyAlignment="1">
      <alignment horizontal="center"/>
    </xf>
    <xf numFmtId="2" fontId="4" fillId="3" borderId="12" xfId="0" applyNumberFormat="1" applyFont="1" applyFill="1" applyBorder="1" applyAlignment="1">
      <alignment horizontal="center"/>
    </xf>
    <xf numFmtId="2" fontId="12" fillId="3" borderId="12" xfId="0" applyNumberFormat="1" applyFont="1" applyFill="1" applyBorder="1" applyAlignment="1">
      <alignment horizontal="center"/>
    </xf>
    <xf numFmtId="2" fontId="4" fillId="3" borderId="9" xfId="0" applyNumberFormat="1" applyFont="1" applyFill="1" applyBorder="1" applyAlignment="1">
      <alignment horizontal="center"/>
    </xf>
    <xf numFmtId="2" fontId="4" fillId="3" borderId="7" xfId="0" applyNumberFormat="1" applyFont="1" applyFill="1" applyBorder="1" applyAlignment="1">
      <alignment horizontal="center"/>
    </xf>
    <xf numFmtId="2" fontId="4" fillId="3" borderId="10" xfId="0" applyNumberFormat="1" applyFont="1" applyFill="1" applyBorder="1" applyAlignment="1">
      <alignment horizontal="center"/>
    </xf>
    <xf numFmtId="0" fontId="6" fillId="3" borderId="0" xfId="0" applyFont="1" applyFill="1" applyBorder="1" applyAlignment="1"/>
    <xf numFmtId="2" fontId="4" fillId="3" borderId="0" xfId="0" applyNumberFormat="1" applyFont="1" applyFill="1" applyBorder="1" applyAlignment="1">
      <alignment horizontal="center"/>
    </xf>
    <xf numFmtId="2" fontId="11" fillId="3" borderId="0" xfId="0" applyNumberFormat="1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165" fontId="4" fillId="3" borderId="11" xfId="0" applyNumberFormat="1" applyFont="1" applyFill="1" applyBorder="1" applyAlignment="1">
      <alignment horizontal="center"/>
    </xf>
    <xf numFmtId="165" fontId="4" fillId="3" borderId="12" xfId="0" applyNumberFormat="1" applyFont="1" applyFill="1" applyBorder="1" applyAlignment="1">
      <alignment horizontal="center"/>
    </xf>
    <xf numFmtId="165" fontId="14" fillId="3" borderId="12" xfId="0" applyNumberFormat="1" applyFont="1" applyFill="1" applyBorder="1" applyAlignment="1">
      <alignment horizontal="center"/>
    </xf>
    <xf numFmtId="165" fontId="12" fillId="3" borderId="12" xfId="0" applyNumberFormat="1" applyFont="1" applyFill="1" applyBorder="1" applyAlignment="1">
      <alignment horizontal="center"/>
    </xf>
    <xf numFmtId="165" fontId="13" fillId="3" borderId="12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3" fontId="14" fillId="3" borderId="11" xfId="0" applyNumberFormat="1" applyFont="1" applyFill="1" applyBorder="1" applyAlignment="1">
      <alignment horizontal="center"/>
    </xf>
    <xf numFmtId="165" fontId="12" fillId="3" borderId="11" xfId="0" applyNumberFormat="1" applyFont="1" applyFill="1" applyBorder="1" applyAlignment="1">
      <alignment horizontal="center"/>
    </xf>
    <xf numFmtId="0" fontId="14" fillId="3" borderId="12" xfId="0" applyFont="1" applyFill="1" applyBorder="1" applyAlignment="1">
      <alignment horizontal="center"/>
    </xf>
    <xf numFmtId="3" fontId="14" fillId="3" borderId="12" xfId="0" applyNumberFormat="1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3" fontId="14" fillId="3" borderId="10" xfId="0" applyNumberFormat="1" applyFont="1" applyFill="1" applyBorder="1" applyAlignment="1">
      <alignment horizontal="center"/>
    </xf>
    <xf numFmtId="165" fontId="12" fillId="3" borderId="10" xfId="0" applyNumberFormat="1" applyFont="1" applyFill="1" applyBorder="1" applyAlignment="1">
      <alignment horizontal="center"/>
    </xf>
    <xf numFmtId="165" fontId="14" fillId="3" borderId="10" xfId="0" applyNumberFormat="1" applyFont="1" applyFill="1" applyBorder="1" applyAlignment="1">
      <alignment horizontal="center"/>
    </xf>
    <xf numFmtId="3" fontId="14" fillId="3" borderId="1" xfId="0" applyNumberFormat="1" applyFont="1" applyFill="1" applyBorder="1" applyAlignment="1">
      <alignment horizontal="center"/>
    </xf>
    <xf numFmtId="2" fontId="14" fillId="3" borderId="10" xfId="0" applyNumberFormat="1" applyFont="1" applyFill="1" applyBorder="1" applyAlignment="1">
      <alignment horizontal="center"/>
    </xf>
    <xf numFmtId="0" fontId="0" fillId="3" borderId="9" xfId="0" applyFill="1" applyBorder="1"/>
    <xf numFmtId="0" fontId="17" fillId="3" borderId="0" xfId="0" applyFont="1" applyFill="1" applyBorder="1" applyAlignment="1">
      <alignment horizontal="center"/>
    </xf>
    <xf numFmtId="0" fontId="0" fillId="3" borderId="7" xfId="0" applyFill="1" applyBorder="1"/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13" fillId="3" borderId="0" xfId="0" applyFont="1" applyFill="1" applyBorder="1"/>
    <xf numFmtId="166" fontId="14" fillId="3" borderId="11" xfId="0" applyNumberFormat="1" applyFont="1" applyFill="1" applyBorder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165" fontId="4" fillId="3" borderId="0" xfId="0" applyNumberFormat="1" applyFont="1" applyFill="1" applyBorder="1" applyAlignment="1">
      <alignment horizontal="center"/>
    </xf>
    <xf numFmtId="165" fontId="14" fillId="3" borderId="0" xfId="0" applyNumberFormat="1" applyFont="1" applyFill="1" applyBorder="1" applyAlignment="1">
      <alignment horizontal="center"/>
    </xf>
    <xf numFmtId="2" fontId="4" fillId="3" borderId="2" xfId="0" applyNumberFormat="1" applyFont="1" applyFill="1" applyBorder="1" applyAlignment="1">
      <alignment horizontal="center"/>
    </xf>
    <xf numFmtId="2" fontId="4" fillId="3" borderId="3" xfId="0" applyNumberFormat="1" applyFont="1" applyFill="1" applyBorder="1" applyAlignment="1">
      <alignment horizontal="center"/>
    </xf>
    <xf numFmtId="2" fontId="4" fillId="3" borderId="8" xfId="0" applyNumberFormat="1" applyFont="1" applyFill="1" applyBorder="1" applyAlignment="1">
      <alignment horizontal="center"/>
    </xf>
    <xf numFmtId="2" fontId="4" fillId="3" borderId="5" xfId="0" applyNumberFormat="1" applyFont="1" applyFill="1" applyBorder="1" applyAlignment="1">
      <alignment horizontal="center"/>
    </xf>
    <xf numFmtId="2" fontId="4" fillId="3" borderId="6" xfId="0" applyNumberFormat="1" applyFont="1" applyFill="1" applyBorder="1" applyAlignment="1">
      <alignment horizontal="center"/>
    </xf>
    <xf numFmtId="2" fontId="4" fillId="3" borderId="10" xfId="0" quotePrefix="1" applyNumberFormat="1" applyFont="1" applyFill="1" applyBorder="1" applyAlignment="1">
      <alignment horizontal="center"/>
    </xf>
    <xf numFmtId="2" fontId="4" fillId="3" borderId="9" xfId="0" quotePrefix="1" applyNumberFormat="1" applyFont="1" applyFill="1" applyBorder="1" applyAlignment="1">
      <alignment horizontal="center"/>
    </xf>
    <xf numFmtId="2" fontId="4" fillId="3" borderId="7" xfId="0" quotePrefix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8" fillId="8" borderId="11" xfId="0" applyFont="1" applyFill="1" applyBorder="1" applyAlignment="1">
      <alignment horizontal="center"/>
    </xf>
    <xf numFmtId="0" fontId="19" fillId="8" borderId="10" xfId="0" applyFont="1" applyFill="1" applyBorder="1" applyAlignment="1">
      <alignment horizontal="center"/>
    </xf>
    <xf numFmtId="2" fontId="19" fillId="9" borderId="12" xfId="0" applyNumberFormat="1" applyFont="1" applyFill="1" applyBorder="1" applyAlignment="1">
      <alignment horizontal="center"/>
    </xf>
    <xf numFmtId="2" fontId="19" fillId="9" borderId="10" xfId="0" applyNumberFormat="1" applyFont="1" applyFill="1" applyBorder="1" applyAlignment="1">
      <alignment horizontal="center"/>
    </xf>
    <xf numFmtId="0" fontId="18" fillId="10" borderId="1" xfId="0" applyFont="1" applyFill="1" applyBorder="1" applyAlignment="1">
      <alignment horizontal="center"/>
    </xf>
    <xf numFmtId="165" fontId="19" fillId="9" borderId="12" xfId="0" applyNumberFormat="1" applyFont="1" applyFill="1" applyBorder="1" applyAlignment="1">
      <alignment horizontal="center"/>
    </xf>
    <xf numFmtId="165" fontId="19" fillId="9" borderId="10" xfId="0" applyNumberFormat="1" applyFont="1" applyFill="1" applyBorder="1" applyAlignment="1">
      <alignment horizontal="center"/>
    </xf>
    <xf numFmtId="2" fontId="4" fillId="9" borderId="11" xfId="0" applyNumberFormat="1" applyFont="1" applyFill="1" applyBorder="1" applyAlignment="1">
      <alignment horizontal="center"/>
    </xf>
    <xf numFmtId="165" fontId="4" fillId="9" borderId="12" xfId="0" applyNumberFormat="1" applyFont="1" applyFill="1" applyBorder="1" applyAlignment="1">
      <alignment horizontal="center"/>
    </xf>
    <xf numFmtId="165" fontId="4" fillId="9" borderId="11" xfId="0" applyNumberFormat="1" applyFont="1" applyFill="1" applyBorder="1" applyAlignment="1">
      <alignment horizontal="center"/>
    </xf>
    <xf numFmtId="2" fontId="4" fillId="9" borderId="12" xfId="0" applyNumberFormat="1" applyFont="1" applyFill="1" applyBorder="1" applyAlignment="1">
      <alignment horizontal="center"/>
    </xf>
    <xf numFmtId="2" fontId="4" fillId="3" borderId="5" xfId="0" quotePrefix="1" applyNumberFormat="1" applyFont="1" applyFill="1" applyBorder="1" applyAlignment="1">
      <alignment horizontal="center"/>
    </xf>
    <xf numFmtId="2" fontId="4" fillId="3" borderId="16" xfId="0" applyNumberFormat="1" applyFont="1" applyFill="1" applyBorder="1" applyAlignment="1">
      <alignment horizontal="center"/>
    </xf>
    <xf numFmtId="2" fontId="4" fillId="3" borderId="17" xfId="0" applyNumberFormat="1" applyFont="1" applyFill="1" applyBorder="1" applyAlignment="1">
      <alignment horizontal="center"/>
    </xf>
    <xf numFmtId="2" fontId="4" fillId="3" borderId="4" xfId="0" applyNumberFormat="1" applyFont="1" applyFill="1" applyBorder="1" applyAlignment="1">
      <alignment horizontal="center"/>
    </xf>
    <xf numFmtId="2" fontId="2" fillId="3" borderId="18" xfId="0" applyNumberFormat="1" applyFont="1" applyFill="1" applyBorder="1" applyAlignment="1">
      <alignment horizontal="center"/>
    </xf>
    <xf numFmtId="2" fontId="4" fillId="11" borderId="1" xfId="0" applyNumberFormat="1" applyFont="1" applyFill="1" applyBorder="1" applyAlignment="1">
      <alignment horizontal="center"/>
    </xf>
    <xf numFmtId="0" fontId="20" fillId="0" borderId="0" xfId="0" applyFont="1" applyAlignment="1">
      <alignment horizontal="justify" vertical="center"/>
    </xf>
    <xf numFmtId="0" fontId="21" fillId="0" borderId="0" xfId="0" applyFont="1" applyAlignment="1">
      <alignment horizontal="justify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5" fillId="3" borderId="0" xfId="0" applyFont="1" applyFill="1" applyBorder="1" applyAlignment="1">
      <alignment horizontal="right"/>
    </xf>
    <xf numFmtId="0" fontId="2" fillId="3" borderId="11" xfId="0" applyFont="1" applyFill="1" applyBorder="1" applyAlignment="1">
      <alignment horizontal="center" wrapText="1"/>
    </xf>
    <xf numFmtId="0" fontId="13" fillId="3" borderId="0" xfId="0" applyFont="1" applyFill="1" applyBorder="1" applyAlignment="1">
      <alignment horizontal="left"/>
    </xf>
    <xf numFmtId="0" fontId="2" fillId="3" borderId="0" xfId="0" applyFont="1" applyFill="1" applyBorder="1"/>
    <xf numFmtId="2" fontId="2" fillId="3" borderId="0" xfId="0" applyNumberFormat="1" applyFont="1" applyFill="1" applyBorder="1" applyAlignment="1">
      <alignment horizontal="center"/>
    </xf>
    <xf numFmtId="0" fontId="0" fillId="3" borderId="0" xfId="0" applyFill="1"/>
    <xf numFmtId="165" fontId="14" fillId="3" borderId="11" xfId="0" applyNumberFormat="1" applyFont="1" applyFill="1" applyBorder="1" applyAlignment="1">
      <alignment horizontal="center"/>
    </xf>
    <xf numFmtId="165" fontId="4" fillId="3" borderId="10" xfId="0" applyNumberFormat="1" applyFont="1" applyFill="1" applyBorder="1" applyAlignment="1">
      <alignment horizontal="center"/>
    </xf>
    <xf numFmtId="0" fontId="23" fillId="6" borderId="11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1" fontId="9" fillId="3" borderId="10" xfId="0" applyNumberFormat="1" applyFont="1" applyFill="1" applyBorder="1" applyAlignment="1">
      <alignment horizontal="center"/>
    </xf>
    <xf numFmtId="1" fontId="9" fillId="3" borderId="11" xfId="0" applyNumberFormat="1" applyFont="1" applyFill="1" applyBorder="1" applyAlignment="1">
      <alignment horizontal="center"/>
    </xf>
    <xf numFmtId="1" fontId="9" fillId="3" borderId="12" xfId="0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horizontal="left"/>
    </xf>
    <xf numFmtId="0" fontId="4" fillId="3" borderId="12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Rating curve</a:t>
            </a:r>
          </a:p>
        </c:rich>
      </c:tx>
      <c:layout>
        <c:manualLayout>
          <c:xMode val="edge"/>
          <c:yMode val="edge"/>
          <c:x val="0.41574021355585278"/>
          <c:y val="2.4466228898221587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Schlüsselkurve</c:v>
          </c:tx>
          <c:xVal>
            <c:numRef>
              <c:f>'Übung 04 - Flussbau'!$I$236:$I$251</c:f>
              <c:numCache>
                <c:formatCode>0.00</c:formatCode>
                <c:ptCount val="16"/>
                <c:pt idx="0">
                  <c:v>6.2579789999999997</c:v>
                </c:pt>
                <c:pt idx="1">
                  <c:v>8.3960618109259535</c:v>
                </c:pt>
                <c:pt idx="2">
                  <c:v>10.492409712670824</c:v>
                </c:pt>
                <c:pt idx="3">
                  <c:v>14.819823974523205</c:v>
                </c:pt>
                <c:pt idx="4">
                  <c:v>0</c:v>
                </c:pt>
                <c:pt idx="5">
                  <c:v>0.57339999999999991</c:v>
                </c:pt>
                <c:pt idx="6">
                  <c:v>32.00036580418594</c:v>
                </c:pt>
                <c:pt idx="7">
                  <c:v>20.000176689989125</c:v>
                </c:pt>
                <c:pt idx="8">
                  <c:v>14.999141863607262</c:v>
                </c:pt>
                <c:pt idx="9">
                  <c:v>12.999948961155674</c:v>
                </c:pt>
                <c:pt idx="10">
                  <c:v>11.000007458095659</c:v>
                </c:pt>
                <c:pt idx="11">
                  <c:v>10.00002107931444</c:v>
                </c:pt>
                <c:pt idx="12">
                  <c:v>8.5000207567521873</c:v>
                </c:pt>
                <c:pt idx="13">
                  <c:v>7.5000025958676035</c:v>
                </c:pt>
                <c:pt idx="14">
                  <c:v>6.5000729633624372</c:v>
                </c:pt>
                <c:pt idx="15">
                  <c:v>6.0000067554481316</c:v>
                </c:pt>
              </c:numCache>
            </c:numRef>
          </c:xVal>
          <c:yVal>
            <c:numRef>
              <c:f>'Übung 04 - Flussbau'!$D$236:$D$251</c:f>
              <c:numCache>
                <c:formatCode>0.00</c:formatCode>
                <c:ptCount val="16"/>
                <c:pt idx="0">
                  <c:v>0.42</c:v>
                </c:pt>
                <c:pt idx="1">
                  <c:v>0.5</c:v>
                </c:pt>
                <c:pt idx="2">
                  <c:v>0.56860253710872755</c:v>
                </c:pt>
                <c:pt idx="3">
                  <c:v>0.7</c:v>
                </c:pt>
                <c:pt idx="4">
                  <c:v>0</c:v>
                </c:pt>
                <c:pt idx="5">
                  <c:v>0.1</c:v>
                </c:pt>
                <c:pt idx="6">
                  <c:v>1.09958848711957</c:v>
                </c:pt>
                <c:pt idx="7">
                  <c:v>0.8351889301978126</c:v>
                </c:pt>
                <c:pt idx="8">
                  <c:v>0.70498685964026908</c:v>
                </c:pt>
                <c:pt idx="9">
                  <c:v>0.64786255001032722</c:v>
                </c:pt>
                <c:pt idx="10">
                  <c:v>0.58688020349648773</c:v>
                </c:pt>
                <c:pt idx="11">
                  <c:v>0.55465175519604815</c:v>
                </c:pt>
                <c:pt idx="12">
                  <c:v>0.50366681096853594</c:v>
                </c:pt>
                <c:pt idx="13">
                  <c:v>0.46757583792199459</c:v>
                </c:pt>
                <c:pt idx="14">
                  <c:v>0.42943666956189741</c:v>
                </c:pt>
                <c:pt idx="15">
                  <c:v>0.40945834899498185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5-4B53-B03A-CBE4C0711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62432"/>
        <c:axId val="105718528"/>
      </c:scatterChart>
      <c:valAx>
        <c:axId val="34562432"/>
        <c:scaling>
          <c:orientation val="minMax"/>
          <c:min val="5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 Q  [m³/s]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5718528"/>
        <c:crosses val="autoZero"/>
        <c:crossBetween val="midCat"/>
        <c:minorUnit val="2.5"/>
      </c:valAx>
      <c:valAx>
        <c:axId val="105718528"/>
        <c:scaling>
          <c:orientation val="minMax"/>
          <c:min val="0.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 h  [m]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345624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85249584076589"/>
          <c:y val="5.104606751742239E-2"/>
          <c:w val="0.78411623032246824"/>
          <c:h val="0.76846339035206823"/>
        </c:manualLayout>
      </c:layout>
      <c:scatterChart>
        <c:scatterStyle val="lineMarker"/>
        <c:varyColors val="0"/>
        <c:ser>
          <c:idx val="0"/>
          <c:order val="0"/>
          <c:spPr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xVal>
            <c:numRef>
              <c:f>'Übung 04 - Flussbau'!$N$42:$N$53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11.5</c:v>
                </c:pt>
                <c:pt idx="6">
                  <c:v>13</c:v>
                </c:pt>
                <c:pt idx="7">
                  <c:v>20</c:v>
                </c:pt>
                <c:pt idx="8">
                  <c:v>30</c:v>
                </c:pt>
                <c:pt idx="9">
                  <c:v>40</c:v>
                </c:pt>
                <c:pt idx="10" formatCode="0.0">
                  <c:v>44</c:v>
                </c:pt>
                <c:pt idx="11">
                  <c:v>50</c:v>
                </c:pt>
              </c:numCache>
            </c:numRef>
          </c:xVal>
          <c:yVal>
            <c:numRef>
              <c:f>'Übung 04 - Flussbau'!$O$42:$O$53</c:f>
              <c:numCache>
                <c:formatCode>0.0</c:formatCode>
                <c:ptCount val="12"/>
                <c:pt idx="0">
                  <c:v>32</c:v>
                </c:pt>
                <c:pt idx="1">
                  <c:v>20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10.52</c:v>
                </c:pt>
                <c:pt idx="6">
                  <c:v>10</c:v>
                </c:pt>
                <c:pt idx="7">
                  <c:v>8.5</c:v>
                </c:pt>
                <c:pt idx="8">
                  <c:v>7.5</c:v>
                </c:pt>
                <c:pt idx="9">
                  <c:v>6.5</c:v>
                </c:pt>
                <c:pt idx="10">
                  <c:v>6.26</c:v>
                </c:pt>
                <c:pt idx="1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47-4A5D-A7C6-42988E4F0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62432"/>
        <c:axId val="105718528"/>
      </c:scatterChart>
      <c:valAx>
        <c:axId val="34562432"/>
        <c:scaling>
          <c:orientation val="minMax"/>
          <c:max val="50"/>
          <c:min val="0"/>
        </c:scaling>
        <c:delete val="0"/>
        <c:axPos val="b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Duration of exeedance [d]</a:t>
                </a:r>
              </a:p>
            </c:rich>
          </c:tx>
          <c:layout>
            <c:manualLayout>
              <c:xMode val="edge"/>
              <c:yMode val="edge"/>
              <c:x val="0.3841126266539337"/>
              <c:y val="0.8979078649651551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105718528"/>
        <c:crosses val="autoZero"/>
        <c:crossBetween val="midCat"/>
        <c:majorUnit val="5"/>
        <c:minorUnit val="1"/>
      </c:valAx>
      <c:valAx>
        <c:axId val="10571852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discharge</a:t>
                </a:r>
                <a:r>
                  <a:rPr lang="de-DE" baseline="0"/>
                  <a:t> [m³/s]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2.4408848207475211E-2"/>
              <c:y val="0.2648062268078558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345624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85249584076589"/>
          <c:y val="5.104606751742239E-2"/>
          <c:w val="0.78411623032246824"/>
          <c:h val="0.76846339035206823"/>
        </c:manualLayout>
      </c:layout>
      <c:scatterChart>
        <c:scatterStyle val="lineMarker"/>
        <c:varyColors val="0"/>
        <c:ser>
          <c:idx val="0"/>
          <c:order val="0"/>
          <c:spPr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xVal>
            <c:numRef>
              <c:f>'Übung 04 - Flussbau'!$P$42:$P$53</c:f>
              <c:numCache>
                <c:formatCode>0.00</c:formatCode>
                <c:ptCount val="12"/>
                <c:pt idx="0">
                  <c:v>1.09958848711957</c:v>
                </c:pt>
                <c:pt idx="1">
                  <c:v>0.8351889301978126</c:v>
                </c:pt>
                <c:pt idx="2">
                  <c:v>0.70498685964026908</c:v>
                </c:pt>
                <c:pt idx="3">
                  <c:v>0.64786255001032722</c:v>
                </c:pt>
                <c:pt idx="4">
                  <c:v>0.58688020349648773</c:v>
                </c:pt>
                <c:pt idx="5">
                  <c:v>0.56999999999999995</c:v>
                </c:pt>
                <c:pt idx="6">
                  <c:v>0.55465175519604815</c:v>
                </c:pt>
                <c:pt idx="7">
                  <c:v>0.50366681096853594</c:v>
                </c:pt>
                <c:pt idx="8">
                  <c:v>0.46757583792199459</c:v>
                </c:pt>
                <c:pt idx="9">
                  <c:v>0.42943666956189741</c:v>
                </c:pt>
                <c:pt idx="10">
                  <c:v>0.42</c:v>
                </c:pt>
                <c:pt idx="11">
                  <c:v>0.40945834899498185</c:v>
                </c:pt>
              </c:numCache>
            </c:numRef>
          </c:xVal>
          <c:yVal>
            <c:numRef>
              <c:f>'Übung 04 - Flussbau'!$O$42:$O$53</c:f>
              <c:numCache>
                <c:formatCode>0.0</c:formatCode>
                <c:ptCount val="12"/>
                <c:pt idx="0">
                  <c:v>32</c:v>
                </c:pt>
                <c:pt idx="1">
                  <c:v>20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10.52</c:v>
                </c:pt>
                <c:pt idx="6">
                  <c:v>10</c:v>
                </c:pt>
                <c:pt idx="7">
                  <c:v>8.5</c:v>
                </c:pt>
                <c:pt idx="8">
                  <c:v>7.5</c:v>
                </c:pt>
                <c:pt idx="9">
                  <c:v>6.5</c:v>
                </c:pt>
                <c:pt idx="10">
                  <c:v>6.26</c:v>
                </c:pt>
                <c:pt idx="1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C-4BDD-A942-AAEBBB8DC304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4"/>
            <c:spPr>
              <a:solidFill>
                <a:schemeClr val="bg1"/>
              </a:solidFill>
              <a:ln>
                <a:solidFill>
                  <a:schemeClr val="dk1"/>
                </a:solidFill>
              </a:ln>
            </c:spPr>
          </c:marker>
          <c:xVal>
            <c:numRef>
              <c:f>'Übung 04 - Flussbau'!$T$42:$T$49</c:f>
              <c:numCache>
                <c:formatCode>0.00</c:formatCode>
                <c:ptCount val="8"/>
                <c:pt idx="0">
                  <c:v>0.42</c:v>
                </c:pt>
                <c:pt idx="1">
                  <c:v>0.5</c:v>
                </c:pt>
                <c:pt idx="2">
                  <c:v>0.56999999999999995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  <c:pt idx="7">
                  <c:v>1.1000000000000001</c:v>
                </c:pt>
              </c:numCache>
            </c:numRef>
          </c:xVal>
          <c:yVal>
            <c:numRef>
              <c:f>'Übung 04 - Flussbau'!$V$42:$V$49</c:f>
              <c:numCache>
                <c:formatCode>0.00</c:formatCode>
                <c:ptCount val="8"/>
                <c:pt idx="0">
                  <c:v>6.26</c:v>
                </c:pt>
                <c:pt idx="1">
                  <c:v>8.44</c:v>
                </c:pt>
                <c:pt idx="2">
                  <c:v>10.52</c:v>
                </c:pt>
                <c:pt idx="3">
                  <c:v>14.72</c:v>
                </c:pt>
                <c:pt idx="4">
                  <c:v>18.55</c:v>
                </c:pt>
                <c:pt idx="5">
                  <c:v>22.73</c:v>
                </c:pt>
                <c:pt idx="6">
                  <c:v>27.23</c:v>
                </c:pt>
                <c:pt idx="7">
                  <c:v>32.020000000000003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CC-4BDD-A942-AAEBBB8DC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62432"/>
        <c:axId val="105718528"/>
      </c:scatterChart>
      <c:valAx>
        <c:axId val="34562432"/>
        <c:scaling>
          <c:orientation val="minMax"/>
          <c:max val="1.1000000000000001"/>
          <c:min val="0.4"/>
        </c:scaling>
        <c:delete val="0"/>
        <c:axPos val="b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h [m]</a:t>
                </a:r>
              </a:p>
            </c:rich>
          </c:tx>
          <c:layout>
            <c:manualLayout>
              <c:xMode val="edge"/>
              <c:yMode val="edge"/>
              <c:x val="0.3841126266539337"/>
              <c:y val="0.89331016381572992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105718528"/>
        <c:crosses val="autoZero"/>
        <c:crossBetween val="midCat"/>
        <c:majorUnit val="0.1"/>
      </c:valAx>
      <c:valAx>
        <c:axId val="10571852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discharge</a:t>
                </a:r>
                <a:r>
                  <a:rPr lang="de-DE" baseline="0"/>
                  <a:t> [m³/s]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2.4408848207475211E-2"/>
              <c:y val="0.2648062268078558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345624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85249584076589"/>
          <c:y val="5.104606751742239E-2"/>
          <c:w val="0.78411623032246824"/>
          <c:h val="0.76846339035206823"/>
        </c:manualLayout>
      </c:layout>
      <c:scatterChart>
        <c:scatterStyle val="lineMarker"/>
        <c:varyColors val="0"/>
        <c:ser>
          <c:idx val="0"/>
          <c:order val="0"/>
          <c:tx>
            <c:v>d_(65,2)=1.5 cm</c:v>
          </c:tx>
          <c:spPr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xVal>
            <c:numRef>
              <c:f>'Übung 04 - Flussbau'!$P$42:$P$52</c:f>
              <c:numCache>
                <c:formatCode>0.00</c:formatCode>
                <c:ptCount val="11"/>
                <c:pt idx="0">
                  <c:v>1.09958848711957</c:v>
                </c:pt>
                <c:pt idx="1">
                  <c:v>0.8351889301978126</c:v>
                </c:pt>
                <c:pt idx="2">
                  <c:v>0.70498685964026908</c:v>
                </c:pt>
                <c:pt idx="3">
                  <c:v>0.64786255001032722</c:v>
                </c:pt>
                <c:pt idx="4">
                  <c:v>0.58688020349648773</c:v>
                </c:pt>
                <c:pt idx="5">
                  <c:v>0.56999999999999995</c:v>
                </c:pt>
                <c:pt idx="6">
                  <c:v>0.55465175519604815</c:v>
                </c:pt>
                <c:pt idx="7">
                  <c:v>0.50366681096853594</c:v>
                </c:pt>
                <c:pt idx="8">
                  <c:v>0.46757583792199459</c:v>
                </c:pt>
                <c:pt idx="9">
                  <c:v>0.42943666956189741</c:v>
                </c:pt>
                <c:pt idx="10">
                  <c:v>0.42</c:v>
                </c:pt>
              </c:numCache>
            </c:numRef>
          </c:xVal>
          <c:yVal>
            <c:numRef>
              <c:f>'Übung 04 - Flussbau'!$Q$42:$Q$52</c:f>
              <c:numCache>
                <c:formatCode>0.00</c:formatCode>
                <c:ptCount val="11"/>
                <c:pt idx="0">
                  <c:v>31.684648208625973</c:v>
                </c:pt>
                <c:pt idx="1">
                  <c:v>15.887835469967344</c:v>
                </c:pt>
                <c:pt idx="2">
                  <c:v>9.4611783019264717</c:v>
                </c:pt>
                <c:pt idx="3">
                  <c:v>6.6888132579165429</c:v>
                </c:pt>
                <c:pt idx="4">
                  <c:v>4.2572383052016836</c:v>
                </c:pt>
                <c:pt idx="5">
                  <c:v>3.8159999999999998</c:v>
                </c:pt>
                <c:pt idx="6">
                  <c:v>3.3917423194898459</c:v>
                </c:pt>
                <c:pt idx="7">
                  <c:v>1.5410130824225534</c:v>
                </c:pt>
                <c:pt idx="8">
                  <c:v>0.6891116918547433</c:v>
                </c:pt>
                <c:pt idx="9">
                  <c:v>0.1075854848912958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4D-43AC-B0C7-88C237057DBF}"/>
            </c:ext>
          </c:extLst>
        </c:ser>
        <c:ser>
          <c:idx val="1"/>
          <c:order val="1"/>
          <c:tx>
            <c:v>d_(65,3a)=2.0 cm</c:v>
          </c:tx>
          <c:spPr>
            <a:ln w="25400" cap="flat" cmpd="sng" algn="ctr">
              <a:solidFill>
                <a:schemeClr val="accent3"/>
              </a:solidFill>
              <a:prstDash val="solid"/>
            </a:ln>
            <a:effectLst/>
          </c:spPr>
          <c:marker>
            <c:symbol val="circle"/>
            <c:size val="4"/>
            <c:spPr>
              <a:solidFill>
                <a:schemeClr val="lt1"/>
              </a:solidFill>
              <a:ln w="25400" cap="flat" cmpd="sng" algn="ctr">
                <a:solidFill>
                  <a:schemeClr val="accent3"/>
                </a:solidFill>
                <a:prstDash val="solid"/>
              </a:ln>
              <a:effectLst/>
            </c:spPr>
          </c:marker>
          <c:xVal>
            <c:numRef>
              <c:f>'Übung 04 - Flussbau'!$P$42:$P$47</c:f>
              <c:numCache>
                <c:formatCode>0.00</c:formatCode>
                <c:ptCount val="6"/>
                <c:pt idx="0">
                  <c:v>1.09958848711957</c:v>
                </c:pt>
                <c:pt idx="1">
                  <c:v>0.8351889301978126</c:v>
                </c:pt>
                <c:pt idx="2">
                  <c:v>0.70498685964026908</c:v>
                </c:pt>
                <c:pt idx="3">
                  <c:v>0.64786255001032722</c:v>
                </c:pt>
                <c:pt idx="4">
                  <c:v>0.58688020349648773</c:v>
                </c:pt>
                <c:pt idx="5">
                  <c:v>0.56999999999999995</c:v>
                </c:pt>
              </c:numCache>
            </c:numRef>
          </c:xVal>
          <c:yVal>
            <c:numRef>
              <c:f>'Übung 04 - Flussbau'!$R$42:$R$47</c:f>
              <c:numCache>
                <c:formatCode>0.00</c:formatCode>
                <c:ptCount val="6"/>
                <c:pt idx="0">
                  <c:v>21.060788461476314</c:v>
                </c:pt>
                <c:pt idx="1">
                  <c:v>7.800437360200382</c:v>
                </c:pt>
                <c:pt idx="2">
                  <c:v>3.0141663268872394</c:v>
                </c:pt>
                <c:pt idx="3">
                  <c:v>1.2547591539546032</c:v>
                </c:pt>
                <c:pt idx="4">
                  <c:v>0.11761550482859254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4D-43AC-B0C7-88C237057DBF}"/>
            </c:ext>
          </c:extLst>
        </c:ser>
        <c:ser>
          <c:idx val="2"/>
          <c:order val="2"/>
          <c:spPr>
            <a:ln w="25400" cap="flat" cmpd="sng" algn="ctr">
              <a:noFill/>
              <a:prstDash val="solid"/>
            </a:ln>
            <a:effectLst/>
          </c:spPr>
          <c:marker>
            <c:symbol val="circle"/>
            <c:size val="3"/>
            <c:spPr>
              <a:solidFill>
                <a:schemeClr val="bg1"/>
              </a:solidFill>
              <a:ln w="9525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xVal>
            <c:numRef>
              <c:f>'Übung 04 - Flussbau'!$T$42:$T$49</c:f>
              <c:numCache>
                <c:formatCode>0.00</c:formatCode>
                <c:ptCount val="8"/>
                <c:pt idx="0">
                  <c:v>0.42</c:v>
                </c:pt>
                <c:pt idx="1">
                  <c:v>0.5</c:v>
                </c:pt>
                <c:pt idx="2">
                  <c:v>0.56999999999999995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  <c:pt idx="7">
                  <c:v>1.1000000000000001</c:v>
                </c:pt>
              </c:numCache>
            </c:numRef>
          </c:xVal>
          <c:yVal>
            <c:numRef>
              <c:f>'Übung 04 - Flussbau'!$W$42:$W$49</c:f>
              <c:numCache>
                <c:formatCode>0.000</c:formatCode>
                <c:ptCount val="8"/>
                <c:pt idx="0">
                  <c:v>0</c:v>
                </c:pt>
                <c:pt idx="1">
                  <c:v>1.5410130824225534</c:v>
                </c:pt>
                <c:pt idx="2">
                  <c:v>3.8163049407358431</c:v>
                </c:pt>
                <c:pt idx="3">
                  <c:v>8.8814348123661553</c:v>
                </c:pt>
                <c:pt idx="4">
                  <c:v>13.843</c:v>
                </c:pt>
                <c:pt idx="5">
                  <c:v>19.489999999999998</c:v>
                </c:pt>
                <c:pt idx="6">
                  <c:v>25.747</c:v>
                </c:pt>
                <c:pt idx="7">
                  <c:v>31.696999999999999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4D-43AC-B0C7-88C237057DBF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4"/>
            <c:spPr>
              <a:solidFill>
                <a:schemeClr val="bg1"/>
              </a:solidFill>
              <a:ln>
                <a:solidFill>
                  <a:srgbClr val="009900"/>
                </a:solidFill>
              </a:ln>
            </c:spPr>
          </c:marker>
          <c:xVal>
            <c:numRef>
              <c:f>'Übung 04 - Flussbau'!$T$44:$T$49</c:f>
              <c:numCache>
                <c:formatCode>0.00</c:formatCode>
                <c:ptCount val="6"/>
                <c:pt idx="0">
                  <c:v>0.56999999999999995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  <c:pt idx="5">
                  <c:v>1.1000000000000001</c:v>
                </c:pt>
              </c:numCache>
            </c:numRef>
          </c:xVal>
          <c:yVal>
            <c:numRef>
              <c:f>'Übung 04 - Flussbau'!$X$44:$X$49</c:f>
              <c:numCache>
                <c:formatCode>0.000</c:formatCode>
                <c:ptCount val="6"/>
                <c:pt idx="0">
                  <c:v>0</c:v>
                </c:pt>
                <c:pt idx="1">
                  <c:v>2.6230428518806206</c:v>
                </c:pt>
                <c:pt idx="2">
                  <c:v>6.2110000000000003</c:v>
                </c:pt>
                <c:pt idx="3">
                  <c:v>10.701000000000001</c:v>
                </c:pt>
                <c:pt idx="4">
                  <c:v>15.936999999999999</c:v>
                </c:pt>
                <c:pt idx="5">
                  <c:v>21.056999999999999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4D-43AC-B0C7-88C237057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62432"/>
        <c:axId val="105718528"/>
      </c:scatterChart>
      <c:valAx>
        <c:axId val="34562432"/>
        <c:scaling>
          <c:orientation val="minMax"/>
          <c:max val="1.1000000000000001"/>
          <c:min val="0.4"/>
        </c:scaling>
        <c:delete val="0"/>
        <c:axPos val="b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h [m]</a:t>
                </a:r>
              </a:p>
            </c:rich>
          </c:tx>
          <c:layout>
            <c:manualLayout>
              <c:xMode val="edge"/>
              <c:yMode val="edge"/>
              <c:x val="0.3841126266539337"/>
              <c:y val="0.9117009684134310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105718528"/>
        <c:crosses val="autoZero"/>
        <c:crossBetween val="midCat"/>
        <c:majorUnit val="0.1"/>
      </c:valAx>
      <c:valAx>
        <c:axId val="10571852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m°</a:t>
                </a:r>
                <a:r>
                  <a:rPr lang="de-DE" baseline="-25000"/>
                  <a:t>G</a:t>
                </a:r>
                <a:r>
                  <a:rPr lang="de-DE" baseline="0"/>
                  <a:t> [kg/s]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2.4408848207475211E-2"/>
              <c:y val="0.2648062268078558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345624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85249584076589"/>
          <c:y val="5.104606751742239E-2"/>
          <c:w val="0.78411623032246824"/>
          <c:h val="0.76846339035206823"/>
        </c:manualLayout>
      </c:layout>
      <c:scatterChart>
        <c:scatterStyle val="lineMarker"/>
        <c:varyColors val="0"/>
        <c:ser>
          <c:idx val="0"/>
          <c:order val="0"/>
          <c:tx>
            <c:v>d_(65,2)=1.5 cm</c:v>
          </c:tx>
          <c:spPr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xVal>
            <c:numRef>
              <c:f>'Übung 04 - Flussbau'!$N$42:$N$52</c:f>
              <c:numCache>
                <c:formatCode>General</c:formatCode>
                <c:ptCount val="1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11.5</c:v>
                </c:pt>
                <c:pt idx="6">
                  <c:v>13</c:v>
                </c:pt>
                <c:pt idx="7">
                  <c:v>20</c:v>
                </c:pt>
                <c:pt idx="8">
                  <c:v>30</c:v>
                </c:pt>
                <c:pt idx="9">
                  <c:v>40</c:v>
                </c:pt>
                <c:pt idx="10" formatCode="0.0">
                  <c:v>44</c:v>
                </c:pt>
              </c:numCache>
            </c:numRef>
          </c:xVal>
          <c:yVal>
            <c:numRef>
              <c:f>'Übung 04 - Flussbau'!$Q$42:$Q$52</c:f>
              <c:numCache>
                <c:formatCode>0.00</c:formatCode>
                <c:ptCount val="11"/>
                <c:pt idx="0">
                  <c:v>31.684648208625973</c:v>
                </c:pt>
                <c:pt idx="1">
                  <c:v>15.887835469967344</c:v>
                </c:pt>
                <c:pt idx="2">
                  <c:v>9.4611783019264717</c:v>
                </c:pt>
                <c:pt idx="3">
                  <c:v>6.6888132579165429</c:v>
                </c:pt>
                <c:pt idx="4">
                  <c:v>4.2572383052016836</c:v>
                </c:pt>
                <c:pt idx="5">
                  <c:v>3.8159999999999998</c:v>
                </c:pt>
                <c:pt idx="6">
                  <c:v>3.3917423194898459</c:v>
                </c:pt>
                <c:pt idx="7">
                  <c:v>1.5410130824225534</c:v>
                </c:pt>
                <c:pt idx="8">
                  <c:v>0.6891116918547433</c:v>
                </c:pt>
                <c:pt idx="9">
                  <c:v>0.1075854848912958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2-4820-8F70-ADFCE23D8C93}"/>
            </c:ext>
          </c:extLst>
        </c:ser>
        <c:ser>
          <c:idx val="1"/>
          <c:order val="1"/>
          <c:tx>
            <c:v>d_(65,3a)=2.0 cm</c:v>
          </c:tx>
          <c:spPr>
            <a:ln w="25400" cap="flat" cmpd="sng" algn="ctr">
              <a:solidFill>
                <a:schemeClr val="accent3"/>
              </a:solidFill>
              <a:prstDash val="solid"/>
            </a:ln>
            <a:effectLst/>
          </c:spPr>
          <c:marker>
            <c:symbol val="circle"/>
            <c:size val="4"/>
            <c:spPr>
              <a:solidFill>
                <a:schemeClr val="lt1"/>
              </a:solidFill>
              <a:ln w="25400" cap="flat" cmpd="sng" algn="ctr">
                <a:solidFill>
                  <a:schemeClr val="accent3"/>
                </a:solidFill>
                <a:prstDash val="solid"/>
              </a:ln>
              <a:effectLst/>
            </c:spPr>
          </c:marker>
          <c:xVal>
            <c:numRef>
              <c:f>'Übung 04 - Flussbau'!$N$42:$N$47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11.5</c:v>
                </c:pt>
              </c:numCache>
            </c:numRef>
          </c:xVal>
          <c:yVal>
            <c:numRef>
              <c:f>'Übung 04 - Flussbau'!$R$42:$R$47</c:f>
              <c:numCache>
                <c:formatCode>0.00</c:formatCode>
                <c:ptCount val="6"/>
                <c:pt idx="0">
                  <c:v>21.060788461476314</c:v>
                </c:pt>
                <c:pt idx="1">
                  <c:v>7.800437360200382</c:v>
                </c:pt>
                <c:pt idx="2">
                  <c:v>3.0141663268872394</c:v>
                </c:pt>
                <c:pt idx="3">
                  <c:v>1.2547591539546032</c:v>
                </c:pt>
                <c:pt idx="4">
                  <c:v>0.11761550482859254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02-4820-8F70-ADFCE23D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62432"/>
        <c:axId val="105718528"/>
      </c:scatterChart>
      <c:valAx>
        <c:axId val="34562432"/>
        <c:scaling>
          <c:orientation val="minMax"/>
          <c:max val="50"/>
          <c:min val="0"/>
        </c:scaling>
        <c:delete val="0"/>
        <c:axPos val="b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Duration of exeedance [d]</a:t>
                </a:r>
              </a:p>
            </c:rich>
          </c:tx>
          <c:layout>
            <c:manualLayout>
              <c:xMode val="edge"/>
              <c:yMode val="edge"/>
              <c:x val="0.41157258088734333"/>
              <c:y val="0.920896370712281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105718528"/>
        <c:crosses val="autoZero"/>
        <c:crossBetween val="midCat"/>
        <c:majorUnit val="5"/>
      </c:valAx>
      <c:valAx>
        <c:axId val="10571852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m°</a:t>
                </a:r>
                <a:r>
                  <a:rPr lang="de-DE" baseline="-25000"/>
                  <a:t>G</a:t>
                </a:r>
                <a:r>
                  <a:rPr lang="de-DE" baseline="0"/>
                  <a:t> [kg/s]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2.4408848207475211E-2"/>
              <c:y val="0.2648062268078558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345624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85249584076589"/>
          <c:y val="5.104606751742239E-2"/>
          <c:w val="0.78411623032246824"/>
          <c:h val="0.76846339035206823"/>
        </c:manualLayout>
      </c:layout>
      <c:scatterChart>
        <c:scatterStyle val="lineMarker"/>
        <c:varyColors val="0"/>
        <c:ser>
          <c:idx val="0"/>
          <c:order val="0"/>
          <c:spPr>
            <a:ln w="12700" cap="flat" cmpd="sng" algn="ctr">
              <a:noFill/>
              <a:prstDash val="solid"/>
            </a:ln>
            <a:effectLst/>
          </c:spPr>
          <c:marker>
            <c:spPr>
              <a:noFill/>
              <a:ln w="12700" cap="flat" cmpd="sng" algn="ctr">
                <a:noFill/>
                <a:prstDash val="solid"/>
              </a:ln>
              <a:effectLst/>
            </c:spPr>
          </c:marker>
          <c:xVal>
            <c:numRef>
              <c:f>'Übung 04 - Flussbau'!$N$42:$N$42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'Übung 04 - Flussbau'!$O$42:$O$42</c:f>
              <c:numCache>
                <c:formatCode>0.0</c:formatCode>
                <c:ptCount val="1"/>
                <c:pt idx="0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9-40D8-9A75-195D8E996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62432"/>
        <c:axId val="105718528"/>
      </c:scatterChart>
      <c:valAx>
        <c:axId val="34562432"/>
        <c:scaling>
          <c:orientation val="minMax"/>
          <c:max val="50"/>
          <c:min val="0"/>
        </c:scaling>
        <c:delete val="0"/>
        <c:axPos val="b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Duration of exeedance [d]</a:t>
                </a:r>
              </a:p>
            </c:rich>
          </c:tx>
          <c:layout>
            <c:manualLayout>
              <c:xMode val="edge"/>
              <c:yMode val="edge"/>
              <c:x val="0.3841126266539337"/>
              <c:y val="0.8979078649651551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105718528"/>
        <c:crosses val="autoZero"/>
        <c:crossBetween val="midCat"/>
        <c:majorUnit val="5"/>
        <c:minorUnit val="1"/>
      </c:valAx>
      <c:valAx>
        <c:axId val="10571852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discharge</a:t>
                </a:r>
                <a:r>
                  <a:rPr lang="de-DE" baseline="0"/>
                  <a:t> [m³/s]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2.4408848207475211E-2"/>
              <c:y val="0.2648062268078558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345624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85249584076589"/>
          <c:y val="5.104606751742239E-2"/>
          <c:w val="0.78411623032246824"/>
          <c:h val="0.76846339035206823"/>
        </c:manualLayout>
      </c:layout>
      <c:scatterChart>
        <c:scatterStyle val="lineMarker"/>
        <c:varyColors val="0"/>
        <c:ser>
          <c:idx val="0"/>
          <c:order val="0"/>
          <c:spPr>
            <a:ln w="12700" cap="flat" cmpd="sng" algn="ctr">
              <a:noFill/>
              <a:prstDash val="solid"/>
            </a:ln>
            <a:effectLst/>
          </c:spPr>
          <c:marker>
            <c:spPr>
              <a:noFill/>
              <a:ln w="12700" cap="flat" cmpd="sng" algn="ctr">
                <a:noFill/>
                <a:prstDash val="solid"/>
              </a:ln>
              <a:effectLst/>
            </c:spPr>
          </c:marker>
          <c:xVal>
            <c:numRef>
              <c:f>'Übung 04 - Flussbau'!$P$42:$P$42</c:f>
              <c:numCache>
                <c:formatCode>0.00</c:formatCode>
                <c:ptCount val="1"/>
                <c:pt idx="0">
                  <c:v>1.09958848711957</c:v>
                </c:pt>
              </c:numCache>
            </c:numRef>
          </c:xVal>
          <c:yVal>
            <c:numRef>
              <c:f>'Übung 04 - Flussbau'!$O$42:$O$42</c:f>
              <c:numCache>
                <c:formatCode>0.0</c:formatCode>
                <c:ptCount val="1"/>
                <c:pt idx="0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68-4D5B-9978-CDE1BB517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62432"/>
        <c:axId val="105718528"/>
      </c:scatterChart>
      <c:valAx>
        <c:axId val="34562432"/>
        <c:scaling>
          <c:orientation val="minMax"/>
          <c:max val="1.1000000000000001"/>
          <c:min val="0.4"/>
        </c:scaling>
        <c:delete val="0"/>
        <c:axPos val="b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 [m]</a:t>
                </a:r>
              </a:p>
            </c:rich>
          </c:tx>
          <c:layout>
            <c:manualLayout>
              <c:xMode val="edge"/>
              <c:yMode val="edge"/>
              <c:x val="0.3841126266539337"/>
              <c:y val="0.89331016381572992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105718528"/>
        <c:crosses val="autoZero"/>
        <c:crossBetween val="midCat"/>
        <c:majorUnit val="0.1"/>
      </c:valAx>
      <c:valAx>
        <c:axId val="10571852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discharge</a:t>
                </a:r>
                <a:r>
                  <a:rPr lang="de-DE" baseline="0"/>
                  <a:t> [m³/s]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2.4408848207475211E-2"/>
              <c:y val="0.2648062268078558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345624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85249584076589"/>
          <c:y val="5.104606751742239E-2"/>
          <c:w val="0.78411623032246824"/>
          <c:h val="0.76846339035206823"/>
        </c:manualLayout>
      </c:layout>
      <c:scatterChart>
        <c:scatterStyle val="lineMarker"/>
        <c:varyColors val="0"/>
        <c:ser>
          <c:idx val="2"/>
          <c:order val="0"/>
          <c:spPr>
            <a:ln w="25400" cap="flat" cmpd="sng" algn="ctr">
              <a:noFill/>
              <a:prstDash val="solid"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noFill/>
                <a:prstDash val="solid"/>
              </a:ln>
              <a:effectLst/>
            </c:spPr>
          </c:marker>
          <c:xVal>
            <c:numRef>
              <c:f>'Übung 04 - Flussbau'!$T$42:$T$42</c:f>
              <c:numCache>
                <c:formatCode>0.00</c:formatCode>
                <c:ptCount val="1"/>
                <c:pt idx="0">
                  <c:v>0.42</c:v>
                </c:pt>
              </c:numCache>
            </c:numRef>
          </c:xVal>
          <c:yVal>
            <c:numRef>
              <c:f>'Übung 04 - Flussbau'!$W$42:$W$42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7C-46DE-836F-35B561F2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62432"/>
        <c:axId val="105718528"/>
      </c:scatterChart>
      <c:valAx>
        <c:axId val="34562432"/>
        <c:scaling>
          <c:orientation val="minMax"/>
          <c:max val="1.1000000000000001"/>
          <c:min val="0.4"/>
        </c:scaling>
        <c:delete val="0"/>
        <c:axPos val="b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 [m]</a:t>
                </a:r>
              </a:p>
            </c:rich>
          </c:tx>
          <c:layout>
            <c:manualLayout>
              <c:xMode val="edge"/>
              <c:yMode val="edge"/>
              <c:x val="0.3841126266539337"/>
              <c:y val="0.9117009684134310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105718528"/>
        <c:crosses val="autoZero"/>
        <c:crossBetween val="midCat"/>
        <c:majorUnit val="0.1"/>
      </c:valAx>
      <c:valAx>
        <c:axId val="105718528"/>
        <c:scaling>
          <c:orientation val="minMax"/>
          <c:max val="35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m°</a:t>
                </a:r>
                <a:r>
                  <a:rPr lang="de-DE" baseline="-25000"/>
                  <a:t>G</a:t>
                </a:r>
                <a:r>
                  <a:rPr lang="de-DE" baseline="0"/>
                  <a:t> [kg/s]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2.4408848207475211E-2"/>
              <c:y val="0.2648062268078558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345624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85249584076589"/>
          <c:y val="5.104606751742239E-2"/>
          <c:w val="0.78411623032246824"/>
          <c:h val="0.76846339035206823"/>
        </c:manualLayout>
      </c:layout>
      <c:scatterChart>
        <c:scatterStyle val="lineMarker"/>
        <c:varyColors val="0"/>
        <c:ser>
          <c:idx val="0"/>
          <c:order val="0"/>
          <c:tx>
            <c:v>d_(65,2)=1.5 cm</c:v>
          </c:tx>
          <c:spPr>
            <a:ln w="12700" cap="flat" cmpd="sng" algn="ctr">
              <a:noFill/>
              <a:prstDash val="solid"/>
            </a:ln>
            <a:effectLst/>
          </c:spPr>
          <c:marker>
            <c:spPr>
              <a:noFill/>
              <a:ln w="12700" cap="flat" cmpd="sng" algn="ctr">
                <a:noFill/>
                <a:prstDash val="solid"/>
              </a:ln>
              <a:effectLst/>
            </c:spPr>
          </c:marker>
          <c:xVal>
            <c:numRef>
              <c:f>'Übung 04 - Flussbau'!$N$42:$N$42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'Übung 04 - Flussbau'!$Q$42:$Q$42</c:f>
              <c:numCache>
                <c:formatCode>0.00</c:formatCode>
                <c:ptCount val="1"/>
                <c:pt idx="0">
                  <c:v>31.684648208625973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C6-4AD8-A7F5-0CD7A4BE8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62432"/>
        <c:axId val="105718528"/>
      </c:scatterChart>
      <c:valAx>
        <c:axId val="34562432"/>
        <c:scaling>
          <c:orientation val="minMax"/>
          <c:max val="50"/>
          <c:min val="0"/>
        </c:scaling>
        <c:delete val="0"/>
        <c:axPos val="b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Duration of exeedance [d]</a:t>
                </a:r>
              </a:p>
            </c:rich>
          </c:tx>
          <c:layout>
            <c:manualLayout>
              <c:xMode val="edge"/>
              <c:yMode val="edge"/>
              <c:x val="0.41157258088734333"/>
              <c:y val="0.920896370712281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105718528"/>
        <c:crosses val="autoZero"/>
        <c:crossBetween val="midCat"/>
        <c:majorUnit val="5"/>
      </c:valAx>
      <c:valAx>
        <c:axId val="10571852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m°</a:t>
                </a:r>
                <a:r>
                  <a:rPr lang="de-DE" baseline="-25000"/>
                  <a:t>G</a:t>
                </a:r>
                <a:r>
                  <a:rPr lang="de-DE" baseline="0"/>
                  <a:t> [kg/s]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2.4408848207475211E-2"/>
              <c:y val="0.2648062268078558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345624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85249584076589"/>
          <c:y val="5.104606751742239E-2"/>
          <c:w val="0.78411623032246824"/>
          <c:h val="0.76846339035206823"/>
        </c:manualLayout>
      </c:layout>
      <c:scatterChart>
        <c:scatterStyle val="lineMarker"/>
        <c:varyColors val="0"/>
        <c:ser>
          <c:idx val="0"/>
          <c:order val="0"/>
          <c:spPr>
            <a:ln w="12700" cap="flat" cmpd="sng" algn="ctr">
              <a:noFill/>
              <a:prstDash val="solid"/>
            </a:ln>
            <a:effectLst/>
          </c:spPr>
          <c:marker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xVal>
            <c:numRef>
              <c:f>'Übung 04 - Flussbau'!$G$236:$G$251</c:f>
              <c:numCache>
                <c:formatCode>0.00</c:formatCode>
                <c:ptCount val="16"/>
                <c:pt idx="0">
                  <c:v>0.38775000000000004</c:v>
                </c:pt>
                <c:pt idx="1">
                  <c:v>0.4593107918630247</c:v>
                </c:pt>
                <c:pt idx="2">
                  <c:v>0.51700000000000002</c:v>
                </c:pt>
                <c:pt idx="3">
                  <c:v>0.62458716981195739</c:v>
                </c:pt>
                <c:pt idx="4">
                  <c:v>0</c:v>
                </c:pt>
                <c:pt idx="5">
                  <c:v>9.838709677419355E-2</c:v>
                </c:pt>
                <c:pt idx="6">
                  <c:v>0.9317450525134946</c:v>
                </c:pt>
                <c:pt idx="7">
                  <c:v>0.73164202201158657</c:v>
                </c:pt>
                <c:pt idx="8">
                  <c:v>0.62859931101369715</c:v>
                </c:pt>
                <c:pt idx="9">
                  <c:v>0.58233600327335722</c:v>
                </c:pt>
                <c:pt idx="10">
                  <c:v>0.53218877880911253</c:v>
                </c:pt>
                <c:pt idx="11">
                  <c:v>0.5053563422415055</c:v>
                </c:pt>
                <c:pt idx="12">
                  <c:v>0.46242211428960112</c:v>
                </c:pt>
                <c:pt idx="13">
                  <c:v>0.43165780978030155</c:v>
                </c:pt>
                <c:pt idx="14">
                  <c:v>0.39879994843351269</c:v>
                </c:pt>
                <c:pt idx="15">
                  <c:v>0.3814415703351714</c:v>
                </c:pt>
              </c:numCache>
            </c:numRef>
          </c:xVal>
          <c:yVal>
            <c:numRef>
              <c:f>'Übung 04 - Flussbau'!$I$236:$I$251</c:f>
              <c:numCache>
                <c:formatCode>0.00</c:formatCode>
                <c:ptCount val="16"/>
                <c:pt idx="0">
                  <c:v>6.2579789999999997</c:v>
                </c:pt>
                <c:pt idx="1">
                  <c:v>8.3960618109259535</c:v>
                </c:pt>
                <c:pt idx="2">
                  <c:v>10.492409712670824</c:v>
                </c:pt>
                <c:pt idx="3">
                  <c:v>14.819823974523205</c:v>
                </c:pt>
                <c:pt idx="4">
                  <c:v>0</c:v>
                </c:pt>
                <c:pt idx="5">
                  <c:v>0.57339999999999991</c:v>
                </c:pt>
                <c:pt idx="6">
                  <c:v>32.00036580418594</c:v>
                </c:pt>
                <c:pt idx="7">
                  <c:v>20.000176689989125</c:v>
                </c:pt>
                <c:pt idx="8">
                  <c:v>14.999141863607262</c:v>
                </c:pt>
                <c:pt idx="9">
                  <c:v>12.999948961155674</c:v>
                </c:pt>
                <c:pt idx="10">
                  <c:v>11.000007458095659</c:v>
                </c:pt>
                <c:pt idx="11">
                  <c:v>10.00002107931444</c:v>
                </c:pt>
                <c:pt idx="12">
                  <c:v>8.5000207567521873</c:v>
                </c:pt>
                <c:pt idx="13">
                  <c:v>7.5000025958676035</c:v>
                </c:pt>
                <c:pt idx="14">
                  <c:v>6.5000729633624372</c:v>
                </c:pt>
                <c:pt idx="15">
                  <c:v>6.0000067554481316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FC-4D40-AB5D-6C4ECFC2F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62432"/>
        <c:axId val="105718528"/>
      </c:scatterChart>
      <c:valAx>
        <c:axId val="34562432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r_hy [m]</a:t>
                </a:r>
              </a:p>
            </c:rich>
          </c:tx>
          <c:layout>
            <c:manualLayout>
              <c:xMode val="edge"/>
              <c:yMode val="edge"/>
              <c:x val="0.46344138332822815"/>
              <c:y val="0.91170096841343107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105718528"/>
        <c:crosses val="autoZero"/>
        <c:crossBetween val="midCat"/>
        <c:majorUnit val="0.25"/>
      </c:valAx>
      <c:valAx>
        <c:axId val="10571852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discharge</a:t>
                </a:r>
                <a:r>
                  <a:rPr lang="de-DE" baseline="0"/>
                  <a:t> [m³/s]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2.4408848207475211E-2"/>
              <c:y val="0.2648062268078558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345624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chart" Target="../charts/chart10.xml"/><Relationship Id="rId3" Type="http://schemas.openxmlformats.org/officeDocument/2006/relationships/chart" Target="../charts/chart1.xml"/><Relationship Id="rId7" Type="http://schemas.openxmlformats.org/officeDocument/2006/relationships/chart" Target="../charts/chart4.xml"/><Relationship Id="rId12" Type="http://schemas.openxmlformats.org/officeDocument/2006/relationships/chart" Target="../charts/chart9.xml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chart" Target="../charts/chart3.xml"/><Relationship Id="rId11" Type="http://schemas.openxmlformats.org/officeDocument/2006/relationships/chart" Target="../charts/chart8.xml"/><Relationship Id="rId5" Type="http://schemas.openxmlformats.org/officeDocument/2006/relationships/chart" Target="../charts/chart2.xml"/><Relationship Id="rId15" Type="http://schemas.openxmlformats.org/officeDocument/2006/relationships/image" Target="../media/image16.png"/><Relationship Id="rId10" Type="http://schemas.openxmlformats.org/officeDocument/2006/relationships/chart" Target="../charts/chart7.xml"/><Relationship Id="rId4" Type="http://schemas.openxmlformats.org/officeDocument/2006/relationships/image" Target="../media/image14.png"/><Relationship Id="rId9" Type="http://schemas.openxmlformats.org/officeDocument/2006/relationships/chart" Target="../charts/chart6.xml"/><Relationship Id="rId14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176878</xdr:colOff>
      <xdr:row>70</xdr:row>
      <xdr:rowOff>170539</xdr:rowOff>
    </xdr:from>
    <xdr:to>
      <xdr:col>9</xdr:col>
      <xdr:colOff>181262</xdr:colOff>
      <xdr:row>87</xdr:row>
      <xdr:rowOff>132983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69358" y="13642699"/>
          <a:ext cx="6420424" cy="3094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</xdr:colOff>
      <xdr:row>98</xdr:row>
      <xdr:rowOff>69712</xdr:rowOff>
    </xdr:from>
    <xdr:to>
      <xdr:col>10</xdr:col>
      <xdr:colOff>490549</xdr:colOff>
      <xdr:row>128</xdr:row>
      <xdr:rowOff>119822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8517842"/>
          <a:ext cx="6778844" cy="5549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143</xdr:row>
          <xdr:rowOff>30480</xdr:rowOff>
        </xdr:from>
        <xdr:to>
          <xdr:col>5</xdr:col>
          <xdr:colOff>381000</xdr:colOff>
          <xdr:row>146</xdr:row>
          <xdr:rowOff>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142</xdr:row>
          <xdr:rowOff>0</xdr:rowOff>
        </xdr:from>
        <xdr:to>
          <xdr:col>9</xdr:col>
          <xdr:colOff>274320</xdr:colOff>
          <xdr:row>147</xdr:row>
          <xdr:rowOff>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164</xdr:row>
          <xdr:rowOff>7620</xdr:rowOff>
        </xdr:from>
        <xdr:to>
          <xdr:col>7</xdr:col>
          <xdr:colOff>617220</xdr:colOff>
          <xdr:row>177</xdr:row>
          <xdr:rowOff>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178</xdr:row>
          <xdr:rowOff>0</xdr:rowOff>
        </xdr:from>
        <xdr:to>
          <xdr:col>5</xdr:col>
          <xdr:colOff>571500</xdr:colOff>
          <xdr:row>181</xdr:row>
          <xdr:rowOff>121920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184</xdr:row>
          <xdr:rowOff>0</xdr:rowOff>
        </xdr:from>
        <xdr:to>
          <xdr:col>5</xdr:col>
          <xdr:colOff>0</xdr:colOff>
          <xdr:row>186</xdr:row>
          <xdr:rowOff>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192</xdr:row>
          <xdr:rowOff>30480</xdr:rowOff>
        </xdr:from>
        <xdr:to>
          <xdr:col>5</xdr:col>
          <xdr:colOff>381000</xdr:colOff>
          <xdr:row>195</xdr:row>
          <xdr:rowOff>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218</xdr:row>
          <xdr:rowOff>0</xdr:rowOff>
        </xdr:from>
        <xdr:to>
          <xdr:col>6</xdr:col>
          <xdr:colOff>45720</xdr:colOff>
          <xdr:row>230</xdr:row>
          <xdr:rowOff>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256</xdr:row>
          <xdr:rowOff>7620</xdr:rowOff>
        </xdr:from>
        <xdr:to>
          <xdr:col>6</xdr:col>
          <xdr:colOff>403860</xdr:colOff>
          <xdr:row>272</xdr:row>
          <xdr:rowOff>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693420</xdr:colOff>
          <xdr:row>288</xdr:row>
          <xdr:rowOff>152400</xdr:rowOff>
        </xdr:from>
        <xdr:to>
          <xdr:col>9</xdr:col>
          <xdr:colOff>457200</xdr:colOff>
          <xdr:row>292</xdr:row>
          <xdr:rowOff>121920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502920</xdr:colOff>
          <xdr:row>289</xdr:row>
          <xdr:rowOff>114300</xdr:rowOff>
        </xdr:from>
        <xdr:to>
          <xdr:col>5</xdr:col>
          <xdr:colOff>30480</xdr:colOff>
          <xdr:row>296</xdr:row>
          <xdr:rowOff>175260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31612</xdr:colOff>
      <xdr:row>324</xdr:row>
      <xdr:rowOff>0</xdr:rowOff>
    </xdr:from>
    <xdr:to>
      <xdr:col>22</xdr:col>
      <xdr:colOff>115957</xdr:colOff>
      <xdr:row>324</xdr:row>
      <xdr:rowOff>55493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329</xdr:row>
          <xdr:rowOff>106680</xdr:rowOff>
        </xdr:from>
        <xdr:to>
          <xdr:col>10</xdr:col>
          <xdr:colOff>220980</xdr:colOff>
          <xdr:row>332</xdr:row>
          <xdr:rowOff>68580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333</xdr:row>
          <xdr:rowOff>0</xdr:rowOff>
        </xdr:from>
        <xdr:to>
          <xdr:col>5</xdr:col>
          <xdr:colOff>480060</xdr:colOff>
          <xdr:row>334</xdr:row>
          <xdr:rowOff>83820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569983</xdr:colOff>
      <xdr:row>357</xdr:row>
      <xdr:rowOff>12287</xdr:rowOff>
    </xdr:from>
    <xdr:to>
      <xdr:col>8</xdr:col>
      <xdr:colOff>371219</xdr:colOff>
      <xdr:row>385</xdr:row>
      <xdr:rowOff>22088</xdr:rowOff>
    </xdr:to>
    <xdr:pic>
      <xdr:nvPicPr>
        <xdr:cNvPr id="24" name="Grafik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83" y="65886635"/>
          <a:ext cx="6118106" cy="5111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52</xdr:row>
      <xdr:rowOff>24848</xdr:rowOff>
    </xdr:from>
    <xdr:to>
      <xdr:col>17</xdr:col>
      <xdr:colOff>352425</xdr:colOff>
      <xdr:row>67</xdr:row>
      <xdr:rowOff>120098</xdr:rowOff>
    </xdr:to>
    <xdr:graphicFrame macro="">
      <xdr:nvGraphicFramePr>
        <xdr:cNvPr id="20" name="Diagram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281608</xdr:colOff>
      <xdr:row>52</xdr:row>
      <xdr:rowOff>24848</xdr:rowOff>
    </xdr:from>
    <xdr:to>
      <xdr:col>22</xdr:col>
      <xdr:colOff>634033</xdr:colOff>
      <xdr:row>66</xdr:row>
      <xdr:rowOff>120098</xdr:rowOff>
    </xdr:to>
    <xdr:graphicFrame macro="">
      <xdr:nvGraphicFramePr>
        <xdr:cNvPr id="21" name="Diagram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281609</xdr:colOff>
      <xdr:row>66</xdr:row>
      <xdr:rowOff>182217</xdr:rowOff>
    </xdr:from>
    <xdr:to>
      <xdr:col>22</xdr:col>
      <xdr:colOff>634034</xdr:colOff>
      <xdr:row>80</xdr:row>
      <xdr:rowOff>86967</xdr:rowOff>
    </xdr:to>
    <xdr:graphicFrame macro="">
      <xdr:nvGraphicFramePr>
        <xdr:cNvPr id="22" name="Diagram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65</xdr:row>
      <xdr:rowOff>182217</xdr:rowOff>
    </xdr:from>
    <xdr:to>
      <xdr:col>17</xdr:col>
      <xdr:colOff>352425</xdr:colOff>
      <xdr:row>80</xdr:row>
      <xdr:rowOff>86967</xdr:rowOff>
    </xdr:to>
    <xdr:graphicFrame macro="">
      <xdr:nvGraphicFramePr>
        <xdr:cNvPr id="23" name="Diagram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0</xdr:colOff>
      <xdr:row>52</xdr:row>
      <xdr:rowOff>190500</xdr:rowOff>
    </xdr:from>
    <xdr:to>
      <xdr:col>29</xdr:col>
      <xdr:colOff>352425</xdr:colOff>
      <xdr:row>66</xdr:row>
      <xdr:rowOff>95250</xdr:rowOff>
    </xdr:to>
    <xdr:graphicFrame macro="">
      <xdr:nvGraphicFramePr>
        <xdr:cNvPr id="30" name="Diagram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281608</xdr:colOff>
      <xdr:row>52</xdr:row>
      <xdr:rowOff>190500</xdr:rowOff>
    </xdr:from>
    <xdr:to>
      <xdr:col>34</xdr:col>
      <xdr:colOff>634033</xdr:colOff>
      <xdr:row>67</xdr:row>
      <xdr:rowOff>95250</xdr:rowOff>
    </xdr:to>
    <xdr:graphicFrame macro="">
      <xdr:nvGraphicFramePr>
        <xdr:cNvPr id="31" name="Diagram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281609</xdr:colOff>
      <xdr:row>66</xdr:row>
      <xdr:rowOff>157369</xdr:rowOff>
    </xdr:from>
    <xdr:to>
      <xdr:col>34</xdr:col>
      <xdr:colOff>634034</xdr:colOff>
      <xdr:row>81</xdr:row>
      <xdr:rowOff>62119</xdr:rowOff>
    </xdr:to>
    <xdr:graphicFrame macro="">
      <xdr:nvGraphicFramePr>
        <xdr:cNvPr id="32" name="Diagram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0</xdr:colOff>
      <xdr:row>66</xdr:row>
      <xdr:rowOff>157369</xdr:rowOff>
    </xdr:from>
    <xdr:to>
      <xdr:col>29</xdr:col>
      <xdr:colOff>352425</xdr:colOff>
      <xdr:row>81</xdr:row>
      <xdr:rowOff>62119</xdr:rowOff>
    </xdr:to>
    <xdr:graphicFrame macro="">
      <xdr:nvGraphicFramePr>
        <xdr:cNvPr id="33" name="Diagram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99391</xdr:colOff>
      <xdr:row>232</xdr:row>
      <xdr:rowOff>82826</xdr:rowOff>
    </xdr:from>
    <xdr:to>
      <xdr:col>16</xdr:col>
      <xdr:colOff>451816</xdr:colOff>
      <xdr:row>246</xdr:row>
      <xdr:rowOff>161511</xdr:rowOff>
    </xdr:to>
    <xdr:graphicFrame macro="">
      <xdr:nvGraphicFramePr>
        <xdr:cNvPr id="27" name="Diagram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49695</xdr:colOff>
      <xdr:row>10</xdr:row>
      <xdr:rowOff>115957</xdr:rowOff>
    </xdr:from>
    <xdr:to>
      <xdr:col>9</xdr:col>
      <xdr:colOff>538368</xdr:colOff>
      <xdr:row>17</xdr:row>
      <xdr:rowOff>5678</xdr:rowOff>
    </xdr:to>
    <xdr:grpSp>
      <xdr:nvGrpSpPr>
        <xdr:cNvPr id="38" name="Zeichenbereich 3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1627035" y="1944757"/>
          <a:ext cx="6119853" cy="1169881"/>
          <a:chOff x="0" y="0"/>
          <a:chExt cx="5968486" cy="1129326"/>
        </a:xfrm>
      </xdr:grpSpPr>
      <xdr:sp macro="" textlink="">
        <xdr:nvSpPr>
          <xdr:cNvPr id="39" name="Rechteck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0" y="0"/>
            <a:ext cx="5324475" cy="1085850"/>
          </a:xfrm>
          <a:prstGeom prst="rect">
            <a:avLst/>
          </a:prstGeom>
          <a:noFill/>
          <a:ln>
            <a:noFill/>
          </a:ln>
        </xdr:spPr>
      </xdr:sp>
      <xdr:pic>
        <xdr:nvPicPr>
          <xdr:cNvPr id="40" name="Picture 83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90170"/>
            <a:ext cx="5324475" cy="9956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1" name="Textfeld 2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 txBox="1"/>
        </xdr:nvSpPr>
        <xdr:spPr>
          <a:xfrm>
            <a:off x="2207578" y="597303"/>
            <a:ext cx="943126" cy="172800"/>
          </a:xfrm>
          <a:prstGeom prst="rect">
            <a:avLst/>
          </a:prstGeom>
          <a:solidFill>
            <a:schemeClr val="lt1"/>
          </a:solidFill>
          <a:ln w="6350">
            <a:noFill/>
          </a:ln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>
              <a:lnSpc>
                <a:spcPts val="1400"/>
              </a:lnSpc>
              <a:spcAft>
                <a:spcPts val="0"/>
              </a:spcAft>
            </a:pPr>
            <a:r>
              <a:rPr lang="de-DE" sz="1000">
                <a:effectLst/>
                <a:latin typeface="Univers 45 Light" panose="00000300000000000000"/>
                <a:ea typeface="Times New Roman" panose="02020603050405020304" pitchFamily="18" charset="0"/>
                <a:cs typeface="Times New Roman" panose="02020603050405020304" pitchFamily="18" charset="0"/>
              </a:rPr>
              <a:t>1/n=40 m</a:t>
            </a:r>
            <a:r>
              <a:rPr lang="de-DE" sz="1000" baseline="30000">
                <a:effectLst/>
                <a:latin typeface="Univers 45 Light" panose="00000300000000000000"/>
                <a:ea typeface="Times New Roman" panose="02020603050405020304" pitchFamily="18" charset="0"/>
                <a:cs typeface="Times New Roman" panose="02020603050405020304" pitchFamily="18" charset="0"/>
              </a:rPr>
              <a:t>1/3</a:t>
            </a:r>
            <a:r>
              <a:rPr lang="de-DE" sz="1000">
                <a:effectLst/>
                <a:latin typeface="Univers 45 Light" panose="00000300000000000000"/>
                <a:ea typeface="Times New Roman" panose="02020603050405020304" pitchFamily="18" charset="0"/>
                <a:cs typeface="Times New Roman" panose="02020603050405020304" pitchFamily="18" charset="0"/>
              </a:rPr>
              <a:t>/s</a:t>
            </a:r>
          </a:p>
        </xdr:txBody>
      </xdr:sp>
      <xdr:sp macro="" textlink="">
        <xdr:nvSpPr>
          <xdr:cNvPr id="42" name="Textfeld 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2168102" y="956606"/>
            <a:ext cx="942975" cy="172720"/>
          </a:xfrm>
          <a:prstGeom prst="rect">
            <a:avLst/>
          </a:prstGeom>
          <a:solidFill>
            <a:schemeClr val="lt1"/>
          </a:solidFill>
          <a:ln w="6350">
            <a:noFill/>
          </a:ln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>
              <a:lnSpc>
                <a:spcPts val="1400"/>
              </a:lnSpc>
              <a:spcAft>
                <a:spcPts val="0"/>
              </a:spcAft>
            </a:pPr>
            <a:r>
              <a:rPr lang="de-DE" sz="1000">
                <a:effectLst/>
                <a:latin typeface="Univers 45 Light" panose="00000300000000000000"/>
                <a:ea typeface="Times New Roman" panose="02020603050405020304" pitchFamily="18" charset="0"/>
              </a:rPr>
              <a:t>b = 12,0 m </a:t>
            </a:r>
            <a:endParaRPr lang="de-DE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3" name="Rechteck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4843832" y="361056"/>
            <a:ext cx="1124654" cy="71714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r>
              <a:rPr lang="de-DE">
                <a:solidFill>
                  <a:schemeClr val="tx1"/>
                </a:solidFill>
              </a:rPr>
              <a:t>not to scale</a:t>
            </a:r>
          </a:p>
        </xdr:txBody>
      </xdr:sp>
    </xdr:grpSp>
    <xdr:clientData/>
  </xdr:twoCellAnchor>
  <xdr:twoCellAnchor>
    <xdr:from>
      <xdr:col>3</xdr:col>
      <xdr:colOff>711642</xdr:colOff>
      <xdr:row>86</xdr:row>
      <xdr:rowOff>100275</xdr:rowOff>
    </xdr:from>
    <xdr:to>
      <xdr:col>5</xdr:col>
      <xdr:colOff>373380</xdr:colOff>
      <xdr:row>87</xdr:row>
      <xdr:rowOff>76200</xdr:rowOff>
    </xdr:to>
    <xdr:sp macro="" textlink="">
      <xdr:nvSpPr>
        <xdr:cNvPr id="45" name="Textfeld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3287202" y="16521375"/>
          <a:ext cx="1170498" cy="158805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ts val="1400"/>
            </a:lnSpc>
            <a:spcAft>
              <a:spcPts val="0"/>
            </a:spcAft>
          </a:pPr>
          <a:r>
            <a:rPr lang="de-DE" sz="1000">
              <a:effectLst/>
              <a:latin typeface="Univers 45 Light" panose="00000300000000000000"/>
              <a:ea typeface="Times New Roman" panose="02020603050405020304" pitchFamily="18" charset="0"/>
            </a:rPr>
            <a:t>grain diameter [mm] </a:t>
          </a:r>
          <a:endParaRPr lang="de-DE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630364</xdr:colOff>
      <xdr:row>70</xdr:row>
      <xdr:rowOff>45393</xdr:rowOff>
    </xdr:from>
    <xdr:to>
      <xdr:col>0</xdr:col>
      <xdr:colOff>773928</xdr:colOff>
      <xdr:row>86</xdr:row>
      <xdr:rowOff>145442</xdr:rowOff>
    </xdr:to>
    <xdr:sp macro="" textlink="">
      <xdr:nvSpPr>
        <xdr:cNvPr id="46" name="Textfeld 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 rot="16200000">
          <a:off x="-822349" y="14970266"/>
          <a:ext cx="3048989" cy="143564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ts val="1400"/>
            </a:lnSpc>
            <a:spcAft>
              <a:spcPts val="0"/>
            </a:spcAft>
          </a:pPr>
          <a:r>
            <a:rPr lang="de-DE" sz="10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mass fraction of seeds &lt;</a:t>
          </a:r>
          <a:r>
            <a:rPr lang="de-DE" sz="1000" baseline="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d [% of the total quantity</a:t>
          </a:r>
          <a:r>
            <a:rPr lang="de-DE" sz="1200" baseline="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]</a:t>
          </a:r>
          <a:endParaRPr lang="de-DE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640522</xdr:colOff>
      <xdr:row>383</xdr:row>
      <xdr:rowOff>60741</xdr:rowOff>
    </xdr:from>
    <xdr:to>
      <xdr:col>4</xdr:col>
      <xdr:colOff>60739</xdr:colOff>
      <xdr:row>384</xdr:row>
      <xdr:rowOff>60738</xdr:rowOff>
    </xdr:to>
    <xdr:sp macro="" textlink="">
      <xdr:nvSpPr>
        <xdr:cNvPr id="35" name="Textfeld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402522" y="70838393"/>
          <a:ext cx="1927087" cy="182215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ts val="1400"/>
            </a:lnSpc>
            <a:spcAft>
              <a:spcPts val="0"/>
            </a:spcAft>
          </a:pPr>
          <a:r>
            <a:rPr lang="de-DE" sz="1000">
              <a:effectLst/>
              <a:latin typeface="Univers 45 Light" panose="00000300000000000000"/>
              <a:ea typeface="Times New Roman" panose="02020603050405020304" pitchFamily="18" charset="0"/>
            </a:rPr>
            <a:t>duration</a:t>
          </a:r>
          <a:r>
            <a:rPr lang="de-DE" sz="1000" baseline="0">
              <a:effectLst/>
              <a:latin typeface="Univers 45 Light" panose="00000300000000000000"/>
              <a:ea typeface="Times New Roman" panose="02020603050405020304" pitchFamily="18" charset="0"/>
            </a:rPr>
            <a:t> of exeedance</a:t>
          </a:r>
          <a:endParaRPr lang="de-DE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255242</xdr:colOff>
      <xdr:row>368</xdr:row>
      <xdr:rowOff>154608</xdr:rowOff>
    </xdr:from>
    <xdr:to>
      <xdr:col>7</xdr:col>
      <xdr:colOff>281607</xdr:colOff>
      <xdr:row>371</xdr:row>
      <xdr:rowOff>38651</xdr:rowOff>
    </xdr:to>
    <xdr:sp macro="" textlink="">
      <xdr:nvSpPr>
        <xdr:cNvPr id="36" name="Textfeld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3524112" y="68033347"/>
          <a:ext cx="2312365" cy="430695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ts val="1400"/>
            </a:lnSpc>
            <a:spcAft>
              <a:spcPts val="0"/>
            </a:spcAft>
          </a:pPr>
          <a:r>
            <a:rPr lang="de-DE" sz="900">
              <a:solidFill>
                <a:srgbClr val="00B050"/>
              </a:solidFill>
              <a:effectLst/>
              <a:latin typeface="Univers 45 Light" panose="00000300000000000000"/>
              <a:ea typeface="Times New Roman" panose="02020603050405020304" pitchFamily="18" charset="0"/>
            </a:rPr>
            <a:t>bedload curve GC 2</a:t>
          </a:r>
        </a:p>
        <a:p>
          <a:pPr>
            <a:lnSpc>
              <a:spcPts val="1400"/>
            </a:lnSpc>
            <a:spcAft>
              <a:spcPts val="0"/>
            </a:spcAft>
          </a:pPr>
          <a:r>
            <a:rPr lang="de-DE" sz="900">
              <a:solidFill>
                <a:srgbClr val="FF0000"/>
              </a:solidFill>
              <a:effectLst/>
              <a:latin typeface="Univers 45 Light" panose="00000300000000000000"/>
              <a:ea typeface="Times New Roman" panose="02020603050405020304" pitchFamily="18" charset="0"/>
            </a:rPr>
            <a:t>bedload</a:t>
          </a:r>
          <a:r>
            <a:rPr lang="de-DE" sz="900" baseline="0">
              <a:solidFill>
                <a:srgbClr val="FF0000"/>
              </a:solidFill>
              <a:effectLst/>
              <a:latin typeface="Univers 45 Light" panose="00000300000000000000"/>
              <a:ea typeface="Times New Roman" panose="02020603050405020304" pitchFamily="18" charset="0"/>
            </a:rPr>
            <a:t> curve GC 3a</a:t>
          </a:r>
          <a:endParaRPr lang="de-DE" sz="900">
            <a:solidFill>
              <a:srgbClr val="FF0000"/>
            </a:solidFill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479425</xdr:colOff>
      <xdr:row>368</xdr:row>
      <xdr:rowOff>135834</xdr:rowOff>
    </xdr:from>
    <xdr:to>
      <xdr:col>3</xdr:col>
      <xdr:colOff>684696</xdr:colOff>
      <xdr:row>371</xdr:row>
      <xdr:rowOff>19877</xdr:rowOff>
    </xdr:to>
    <xdr:sp macro="" textlink="">
      <xdr:nvSpPr>
        <xdr:cNvPr id="37" name="Textfeld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241425" y="68014573"/>
          <a:ext cx="1983271" cy="430695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ts val="1400"/>
            </a:lnSpc>
            <a:spcAft>
              <a:spcPts val="0"/>
            </a:spcAft>
          </a:pPr>
          <a:r>
            <a:rPr lang="de-DE" sz="900">
              <a:solidFill>
                <a:srgbClr val="00B050"/>
              </a:solidFill>
              <a:effectLst/>
              <a:latin typeface="Univers 45 Light" panose="00000300000000000000"/>
              <a:ea typeface="Times New Roman" panose="02020603050405020304" pitchFamily="18" charset="0"/>
            </a:rPr>
            <a:t>bedload duration curve GC 2</a:t>
          </a:r>
        </a:p>
        <a:p>
          <a:pPr>
            <a:lnSpc>
              <a:spcPts val="1400"/>
            </a:lnSpc>
            <a:spcAft>
              <a:spcPts val="0"/>
            </a:spcAft>
          </a:pPr>
          <a:r>
            <a:rPr lang="de-DE" sz="900">
              <a:solidFill>
                <a:srgbClr val="FF0000"/>
              </a:solidFill>
              <a:effectLst/>
              <a:latin typeface="Univers 45 Light" panose="00000300000000000000"/>
              <a:ea typeface="Times New Roman" panose="02020603050405020304" pitchFamily="18" charset="0"/>
            </a:rPr>
            <a:t>bedload</a:t>
          </a:r>
          <a:r>
            <a:rPr lang="de-DE" sz="900" baseline="0">
              <a:solidFill>
                <a:srgbClr val="FF0000"/>
              </a:solidFill>
              <a:effectLst/>
              <a:latin typeface="Univers 45 Light" panose="00000300000000000000"/>
              <a:ea typeface="Times New Roman" panose="02020603050405020304" pitchFamily="18" charset="0"/>
            </a:rPr>
            <a:t> duration curve GC 3a</a:t>
          </a:r>
          <a:endParaRPr lang="de-DE" sz="900">
            <a:solidFill>
              <a:srgbClr val="FF0000"/>
            </a:solidFill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12</xdr:col>
      <xdr:colOff>1</xdr:colOff>
      <xdr:row>252</xdr:row>
      <xdr:rowOff>7620</xdr:rowOff>
    </xdr:from>
    <xdr:to>
      <xdr:col>17</xdr:col>
      <xdr:colOff>408352</xdr:colOff>
      <xdr:row>270</xdr:row>
      <xdr:rowOff>99060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7381" y="47083980"/>
          <a:ext cx="4370751" cy="3383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image" Target="../media/image7.emf"/><Relationship Id="rId26" Type="http://schemas.openxmlformats.org/officeDocument/2006/relationships/image" Target="../media/image11.emf"/><Relationship Id="rId3" Type="http://schemas.openxmlformats.org/officeDocument/2006/relationships/vmlDrawing" Target="../drawings/vmlDrawing1.vml"/><Relationship Id="rId21" Type="http://schemas.openxmlformats.org/officeDocument/2006/relationships/oleObject" Target="../embeddings/oleObject10.bin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oleObject" Target="../embeddings/oleObject8.bin"/><Relationship Id="rId25" Type="http://schemas.openxmlformats.org/officeDocument/2006/relationships/oleObject" Target="../embeddings/oleObject12.bin"/><Relationship Id="rId2" Type="http://schemas.openxmlformats.org/officeDocument/2006/relationships/drawing" Target="../drawings/drawing1.xml"/><Relationship Id="rId16" Type="http://schemas.openxmlformats.org/officeDocument/2006/relationships/image" Target="../media/image6.emf"/><Relationship Id="rId20" Type="http://schemas.openxmlformats.org/officeDocument/2006/relationships/image" Target="../media/image8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image" Target="../media/image10.emf"/><Relationship Id="rId5" Type="http://schemas.openxmlformats.org/officeDocument/2006/relationships/image" Target="../media/image1.emf"/><Relationship Id="rId15" Type="http://schemas.openxmlformats.org/officeDocument/2006/relationships/oleObject" Target="../embeddings/oleObject7.bin"/><Relationship Id="rId23" Type="http://schemas.openxmlformats.org/officeDocument/2006/relationships/oleObject" Target="../embeddings/oleObject11.bin"/><Relationship Id="rId10" Type="http://schemas.openxmlformats.org/officeDocument/2006/relationships/oleObject" Target="../embeddings/oleObject4.bin"/><Relationship Id="rId19" Type="http://schemas.openxmlformats.org/officeDocument/2006/relationships/oleObject" Target="../embeddings/oleObject9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image" Target="../media/image9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28"/>
  <sheetViews>
    <sheetView tabSelected="1" topLeftCell="A350" zoomScaleNormal="100" workbookViewId="0">
      <selection activeCell="K375" sqref="K375"/>
    </sheetView>
  </sheetViews>
  <sheetFormatPr defaultColWidth="11.5546875" defaultRowHeight="14.4"/>
  <cols>
    <col min="2" max="2" width="11.44140625" customWidth="1"/>
    <col min="3" max="3" width="14.5546875" customWidth="1"/>
    <col min="4" max="4" width="10.44140625" customWidth="1"/>
    <col min="8" max="8" width="10.88671875" customWidth="1"/>
    <col min="11" max="11" width="10.5546875" customWidth="1"/>
    <col min="22" max="22" width="12.6640625" bestFit="1" customWidth="1"/>
  </cols>
  <sheetData>
    <row r="1" spans="1:14" s="1" customFormat="1">
      <c r="A1" s="140" t="s">
        <v>74</v>
      </c>
      <c r="B1" s="140"/>
      <c r="C1" s="140"/>
      <c r="D1" s="141"/>
      <c r="E1" s="141"/>
      <c r="F1" s="141"/>
      <c r="G1" s="141"/>
      <c r="H1" s="141"/>
      <c r="I1" s="141"/>
      <c r="J1" s="141"/>
      <c r="K1" s="141"/>
    </row>
    <row r="2" spans="1:14" s="1" customFormat="1">
      <c r="A2" s="140"/>
      <c r="B2" s="140"/>
      <c r="C2" s="140"/>
      <c r="D2" s="141"/>
      <c r="E2" s="141"/>
      <c r="F2" s="141"/>
      <c r="G2" s="141"/>
      <c r="H2" s="141"/>
      <c r="I2" s="141"/>
      <c r="J2" s="141"/>
      <c r="K2" s="141"/>
    </row>
    <row r="3" spans="1:14">
      <c r="A3" s="140" t="s">
        <v>125</v>
      </c>
      <c r="B3" s="140"/>
      <c r="C3" s="140"/>
      <c r="D3" s="140" t="s">
        <v>73</v>
      </c>
      <c r="E3" s="140"/>
      <c r="F3" s="140"/>
      <c r="G3" s="140"/>
      <c r="H3" s="140"/>
      <c r="I3" s="140"/>
      <c r="J3" s="140"/>
      <c r="K3" s="140"/>
    </row>
    <row r="4" spans="1:14">
      <c r="A4" s="140"/>
      <c r="B4" s="140"/>
      <c r="C4" s="140"/>
      <c r="D4" s="140"/>
      <c r="E4" s="140"/>
      <c r="F4" s="140"/>
      <c r="G4" s="140"/>
      <c r="H4" s="140"/>
      <c r="I4" s="140"/>
      <c r="J4" s="140"/>
      <c r="K4" s="140"/>
    </row>
    <row r="5" spans="1:14">
      <c r="A5" s="3"/>
      <c r="B5" s="4"/>
      <c r="C5" s="4"/>
      <c r="D5" s="4"/>
      <c r="E5" s="4"/>
      <c r="F5" s="4"/>
      <c r="G5" s="4"/>
      <c r="H5" s="4"/>
      <c r="I5" s="4"/>
      <c r="J5" s="4"/>
      <c r="K5" s="5"/>
    </row>
    <row r="6" spans="1:14">
      <c r="A6" s="142" t="s">
        <v>69</v>
      </c>
      <c r="B6" s="143"/>
      <c r="C6" s="6" t="s">
        <v>70</v>
      </c>
      <c r="D6" s="6"/>
      <c r="E6" s="6"/>
      <c r="F6" s="6"/>
      <c r="G6" s="6"/>
      <c r="H6" s="6"/>
      <c r="I6" s="6"/>
      <c r="J6" s="6"/>
      <c r="K6" s="7"/>
    </row>
    <row r="7" spans="1:14">
      <c r="A7" s="8"/>
      <c r="B7" s="6"/>
      <c r="C7" s="6" t="s">
        <v>71</v>
      </c>
      <c r="D7" s="6"/>
      <c r="E7" s="6"/>
      <c r="F7" s="6"/>
      <c r="G7" s="6"/>
      <c r="H7" s="6"/>
      <c r="I7" s="6"/>
      <c r="J7" s="6"/>
      <c r="K7" s="7"/>
    </row>
    <row r="8" spans="1:14">
      <c r="A8" s="8"/>
      <c r="B8" s="6"/>
      <c r="C8" s="6"/>
      <c r="D8" s="6"/>
      <c r="E8" s="6"/>
      <c r="F8" s="6"/>
      <c r="G8" s="6"/>
      <c r="H8" s="6"/>
      <c r="I8" s="6"/>
      <c r="J8" s="6"/>
      <c r="K8" s="7"/>
    </row>
    <row r="9" spans="1:14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</row>
    <row r="10" spans="1:14">
      <c r="A10" s="3"/>
      <c r="B10" s="4"/>
      <c r="C10" s="4"/>
      <c r="D10" s="4"/>
      <c r="E10" s="4"/>
      <c r="F10" s="4"/>
      <c r="G10" s="4"/>
      <c r="H10" s="4"/>
      <c r="I10" s="4"/>
      <c r="J10" s="4"/>
      <c r="K10" s="5"/>
    </row>
    <row r="11" spans="1:14">
      <c r="A11" s="142" t="s">
        <v>72</v>
      </c>
      <c r="B11" s="143"/>
      <c r="C11" s="6"/>
      <c r="D11" s="6"/>
      <c r="E11" s="6"/>
      <c r="F11" s="6"/>
      <c r="G11" s="6"/>
      <c r="H11" s="6"/>
      <c r="I11" s="6"/>
      <c r="J11" s="6"/>
      <c r="K11" s="7"/>
    </row>
    <row r="12" spans="1:14">
      <c r="A12" s="8"/>
      <c r="B12" s="6"/>
      <c r="C12" s="6"/>
      <c r="D12" s="6"/>
      <c r="E12" s="6"/>
      <c r="F12" s="6"/>
      <c r="G12" s="6"/>
      <c r="H12" s="6"/>
      <c r="I12" s="6"/>
      <c r="J12" s="6"/>
      <c r="K12" s="7"/>
      <c r="M12" s="116"/>
    </row>
    <row r="13" spans="1:14">
      <c r="A13" s="8"/>
      <c r="B13" s="6"/>
      <c r="C13" s="6"/>
      <c r="D13" s="6"/>
      <c r="E13" s="6"/>
      <c r="F13" s="6"/>
      <c r="G13" s="6"/>
      <c r="H13" s="6"/>
      <c r="I13" s="6"/>
      <c r="J13" s="6"/>
      <c r="K13" s="7"/>
      <c r="M13" s="115"/>
    </row>
    <row r="14" spans="1:14">
      <c r="A14" s="8"/>
      <c r="B14" s="6"/>
      <c r="C14" s="6"/>
      <c r="D14" s="6"/>
      <c r="E14" s="6"/>
      <c r="F14" s="6"/>
      <c r="G14" s="6"/>
      <c r="H14" s="6"/>
      <c r="I14" s="6"/>
      <c r="J14" s="6"/>
      <c r="K14" s="7"/>
      <c r="M14" s="115"/>
    </row>
    <row r="15" spans="1:14">
      <c r="A15" s="8"/>
      <c r="B15" s="6"/>
      <c r="C15" s="6"/>
      <c r="D15" s="6"/>
      <c r="E15" s="6"/>
      <c r="F15" s="6"/>
      <c r="G15" s="6"/>
      <c r="H15" s="6"/>
      <c r="I15" s="6"/>
      <c r="J15" s="6"/>
      <c r="K15" s="7"/>
      <c r="M15" s="117"/>
    </row>
    <row r="16" spans="1:14">
      <c r="A16" s="8"/>
      <c r="B16" s="6"/>
      <c r="C16" s="6"/>
      <c r="D16" s="6"/>
      <c r="E16" s="6"/>
      <c r="F16" s="6"/>
      <c r="G16" s="6"/>
      <c r="H16" s="6"/>
      <c r="I16" s="6"/>
      <c r="J16" s="6"/>
      <c r="K16" s="7"/>
      <c r="M16" s="117"/>
      <c r="N16" s="117"/>
    </row>
    <row r="17" spans="1:13">
      <c r="A17" s="8"/>
      <c r="B17" s="6"/>
      <c r="C17" s="6"/>
      <c r="D17" s="6"/>
      <c r="E17" s="6"/>
      <c r="F17" s="6"/>
      <c r="G17" s="6"/>
      <c r="H17" s="6"/>
      <c r="I17" s="6"/>
      <c r="J17" s="6"/>
      <c r="K17" s="7"/>
      <c r="M17" s="118"/>
    </row>
    <row r="18" spans="1:13">
      <c r="A18" s="8"/>
      <c r="B18" s="6"/>
      <c r="C18" s="117" t="s">
        <v>75</v>
      </c>
      <c r="D18" s="6"/>
      <c r="E18" s="6"/>
      <c r="F18" s="6"/>
      <c r="G18" s="6"/>
      <c r="H18" s="6"/>
      <c r="I18" s="6"/>
      <c r="J18" s="6"/>
      <c r="K18" s="7"/>
    </row>
    <row r="19" spans="1:13">
      <c r="A19" s="8"/>
      <c r="B19" s="6"/>
      <c r="C19" s="6"/>
      <c r="D19" s="6"/>
      <c r="E19" s="6"/>
      <c r="F19" s="6"/>
      <c r="G19" s="6"/>
      <c r="H19" s="6"/>
      <c r="I19" s="6"/>
      <c r="J19" s="6"/>
      <c r="K19" s="7"/>
    </row>
    <row r="20" spans="1:13">
      <c r="A20" s="8"/>
      <c r="B20" s="6"/>
      <c r="C20" s="6"/>
      <c r="D20" s="6"/>
      <c r="E20" s="6"/>
      <c r="F20" s="6"/>
      <c r="G20" s="6"/>
      <c r="H20" s="6"/>
      <c r="I20" s="6"/>
      <c r="J20" s="6"/>
      <c r="K20" s="7"/>
    </row>
    <row r="21" spans="1:1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1"/>
    </row>
    <row r="22" spans="1:13">
      <c r="A22" s="3"/>
      <c r="B22" s="4"/>
      <c r="C22" s="4"/>
      <c r="D22" s="4"/>
      <c r="E22" s="4"/>
      <c r="F22" s="4"/>
      <c r="G22" s="4"/>
      <c r="H22" s="4"/>
      <c r="I22" s="4"/>
      <c r="J22" s="4"/>
      <c r="K22" s="5"/>
    </row>
    <row r="23" spans="1:13">
      <c r="A23" s="142" t="s">
        <v>78</v>
      </c>
      <c r="B23" s="143"/>
      <c r="C23" s="6"/>
      <c r="D23" s="6"/>
      <c r="E23" s="6"/>
      <c r="F23" s="6"/>
      <c r="G23" s="6"/>
      <c r="H23" s="6"/>
      <c r="I23" s="6"/>
      <c r="J23" s="6"/>
      <c r="K23" s="7"/>
    </row>
    <row r="24" spans="1:13">
      <c r="A24" s="8"/>
      <c r="B24" s="6"/>
      <c r="C24" s="6"/>
      <c r="D24" s="6"/>
      <c r="E24" s="6"/>
      <c r="F24" s="6"/>
      <c r="G24" s="6"/>
      <c r="H24" s="6"/>
      <c r="I24" s="6"/>
      <c r="J24" s="6"/>
      <c r="K24" s="7"/>
    </row>
    <row r="25" spans="1:13">
      <c r="A25" s="8"/>
      <c r="B25" s="6"/>
      <c r="C25" s="6" t="s">
        <v>79</v>
      </c>
      <c r="D25" s="6"/>
      <c r="E25" s="6"/>
      <c r="F25" s="13" t="s">
        <v>76</v>
      </c>
      <c r="G25" s="14" t="s">
        <v>0</v>
      </c>
      <c r="H25" s="18">
        <v>12</v>
      </c>
      <c r="I25" s="6" t="s">
        <v>1</v>
      </c>
      <c r="J25" s="6"/>
      <c r="K25" s="7"/>
    </row>
    <row r="26" spans="1:13">
      <c r="A26" s="8"/>
      <c r="B26" s="6"/>
      <c r="C26" s="6"/>
      <c r="D26" s="6"/>
      <c r="E26" s="6"/>
      <c r="F26" s="6"/>
      <c r="G26" s="6"/>
      <c r="H26" s="6"/>
      <c r="I26" s="6"/>
      <c r="J26" s="6"/>
      <c r="K26" s="7"/>
    </row>
    <row r="27" spans="1:13" ht="16.2">
      <c r="A27" s="8"/>
      <c r="B27" s="6"/>
      <c r="C27" s="6" t="s">
        <v>80</v>
      </c>
      <c r="D27" s="6"/>
      <c r="E27" s="6"/>
      <c r="F27" s="13" t="s">
        <v>2</v>
      </c>
      <c r="G27" s="14" t="s">
        <v>0</v>
      </c>
      <c r="H27" s="18">
        <v>1.1000000000000001</v>
      </c>
      <c r="I27" s="6" t="s">
        <v>1</v>
      </c>
      <c r="J27" s="6"/>
      <c r="K27" s="7"/>
    </row>
    <row r="28" spans="1:13">
      <c r="A28" s="8"/>
      <c r="B28" s="6"/>
      <c r="C28" s="6"/>
      <c r="D28" s="6"/>
      <c r="E28" s="6"/>
      <c r="F28" s="6"/>
      <c r="G28" s="6"/>
      <c r="H28" s="6"/>
      <c r="I28" s="6"/>
      <c r="J28" s="6"/>
      <c r="K28" s="7"/>
    </row>
    <row r="29" spans="1:13">
      <c r="A29" s="8"/>
      <c r="B29" s="6"/>
      <c r="C29" s="6" t="s">
        <v>81</v>
      </c>
      <c r="D29" s="6"/>
      <c r="E29" s="6"/>
      <c r="F29" s="13" t="s">
        <v>3</v>
      </c>
      <c r="G29" s="14" t="s">
        <v>0</v>
      </c>
      <c r="H29" s="18">
        <v>1.75</v>
      </c>
      <c r="I29" s="6"/>
      <c r="J29" s="6"/>
      <c r="K29" s="7"/>
    </row>
    <row r="30" spans="1:13">
      <c r="A30" s="8"/>
      <c r="B30" s="6"/>
      <c r="C30" s="6"/>
      <c r="D30" s="6"/>
      <c r="E30" s="6"/>
      <c r="F30" s="6"/>
      <c r="G30" s="6"/>
      <c r="H30" s="6"/>
      <c r="I30" s="6"/>
      <c r="J30" s="6"/>
      <c r="K30" s="7"/>
    </row>
    <row r="31" spans="1:13" ht="16.8">
      <c r="A31" s="8"/>
      <c r="B31" s="6"/>
      <c r="C31" s="6" t="s">
        <v>82</v>
      </c>
      <c r="D31" s="6"/>
      <c r="E31" s="6"/>
      <c r="F31" s="13" t="s">
        <v>77</v>
      </c>
      <c r="G31" s="14" t="s">
        <v>0</v>
      </c>
      <c r="H31" s="18">
        <v>40</v>
      </c>
      <c r="I31" s="6" t="s">
        <v>4</v>
      </c>
      <c r="J31" s="6"/>
      <c r="K31" s="7"/>
    </row>
    <row r="32" spans="1:13">
      <c r="A32" s="8"/>
      <c r="B32" s="6"/>
      <c r="C32" s="6"/>
      <c r="D32" s="6"/>
      <c r="E32" s="6"/>
      <c r="F32" s="6"/>
      <c r="G32" s="6"/>
      <c r="H32" s="6"/>
      <c r="I32" s="6"/>
      <c r="J32" s="6"/>
      <c r="K32" s="7"/>
    </row>
    <row r="33" spans="1:24" ht="16.2">
      <c r="A33" s="8"/>
      <c r="B33" s="6"/>
      <c r="C33" s="6" t="s">
        <v>83</v>
      </c>
      <c r="D33" s="6"/>
      <c r="E33" s="6"/>
      <c r="F33" s="119" t="s">
        <v>105</v>
      </c>
      <c r="G33" s="14" t="s">
        <v>0</v>
      </c>
      <c r="H33" s="2">
        <v>2650</v>
      </c>
      <c r="I33" s="6" t="s">
        <v>5</v>
      </c>
      <c r="J33" s="6"/>
      <c r="K33" s="7"/>
    </row>
    <row r="34" spans="1:24" s="1" customFormat="1" ht="16.2">
      <c r="A34" s="8"/>
      <c r="B34" s="6"/>
      <c r="C34" s="6"/>
      <c r="D34" s="6"/>
      <c r="E34" s="6"/>
      <c r="F34" s="119"/>
      <c r="G34" s="14"/>
      <c r="H34" s="2"/>
      <c r="I34" s="6"/>
      <c r="J34" s="6"/>
      <c r="K34" s="7"/>
    </row>
    <row r="35" spans="1:2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1"/>
    </row>
    <row r="36" spans="1:24">
      <c r="A36" s="3"/>
      <c r="B36" s="4"/>
      <c r="C36" s="4"/>
      <c r="D36" s="4"/>
      <c r="E36" s="4"/>
      <c r="F36" s="4"/>
      <c r="G36" s="4"/>
      <c r="H36" s="4"/>
      <c r="I36" s="4"/>
      <c r="J36" s="4"/>
      <c r="K36" s="5"/>
    </row>
    <row r="37" spans="1:24">
      <c r="A37" s="142" t="s">
        <v>85</v>
      </c>
      <c r="B37" s="143"/>
      <c r="C37" s="6"/>
      <c r="D37" s="6"/>
      <c r="E37" s="6"/>
      <c r="F37" s="6"/>
      <c r="G37" s="6"/>
      <c r="H37" s="6"/>
      <c r="I37" s="6"/>
      <c r="J37" s="6"/>
      <c r="K37" s="7"/>
    </row>
    <row r="38" spans="1:24">
      <c r="A38" s="8"/>
      <c r="B38" s="6"/>
      <c r="C38" s="6"/>
      <c r="D38" s="6"/>
      <c r="E38" s="6"/>
      <c r="F38" s="6"/>
      <c r="G38" s="6"/>
      <c r="H38" s="6"/>
      <c r="I38" s="6"/>
      <c r="J38" s="6"/>
      <c r="K38" s="7"/>
    </row>
    <row r="39" spans="1:24">
      <c r="A39" s="17" t="s">
        <v>6</v>
      </c>
      <c r="B39" s="6" t="s">
        <v>84</v>
      </c>
      <c r="C39" s="6"/>
      <c r="D39" s="6"/>
      <c r="E39" s="6"/>
      <c r="F39" s="6"/>
      <c r="G39" s="6"/>
      <c r="H39" s="6"/>
      <c r="I39" s="6"/>
      <c r="J39" s="6"/>
      <c r="K39" s="7"/>
      <c r="Q39" s="64" t="s">
        <v>56</v>
      </c>
      <c r="R39" s="64" t="s">
        <v>57</v>
      </c>
      <c r="S39" s="96"/>
      <c r="T39" s="96"/>
      <c r="W39" s="102" t="s">
        <v>56</v>
      </c>
      <c r="X39" s="102" t="s">
        <v>57</v>
      </c>
    </row>
    <row r="40" spans="1:24" ht="16.2">
      <c r="A40" s="8"/>
      <c r="B40" s="6"/>
      <c r="C40" s="6"/>
      <c r="D40" s="6"/>
      <c r="E40" s="6"/>
      <c r="F40" s="6"/>
      <c r="G40" s="6"/>
      <c r="H40" s="6"/>
      <c r="I40" s="6"/>
      <c r="J40" s="6"/>
      <c r="K40" s="7"/>
      <c r="N40" s="22" t="s">
        <v>11</v>
      </c>
      <c r="O40" s="22" t="s">
        <v>12</v>
      </c>
      <c r="P40" s="22" t="s">
        <v>35</v>
      </c>
      <c r="Q40" s="35" t="s">
        <v>53</v>
      </c>
      <c r="R40" s="35" t="s">
        <v>53</v>
      </c>
      <c r="S40" s="96"/>
      <c r="T40" s="98" t="s">
        <v>35</v>
      </c>
      <c r="U40" s="98" t="s">
        <v>66</v>
      </c>
      <c r="V40" s="98" t="s">
        <v>12</v>
      </c>
      <c r="W40" s="98" t="s">
        <v>67</v>
      </c>
      <c r="X40" s="98" t="s">
        <v>67</v>
      </c>
    </row>
    <row r="41" spans="1:24" ht="16.2">
      <c r="A41" s="8"/>
      <c r="B41" s="6"/>
      <c r="C41" s="6"/>
      <c r="D41" s="6"/>
      <c r="E41" s="6"/>
      <c r="F41" s="14" t="s">
        <v>7</v>
      </c>
      <c r="G41" s="14" t="s">
        <v>0</v>
      </c>
      <c r="H41" s="14" t="s">
        <v>8</v>
      </c>
      <c r="I41" s="14" t="s">
        <v>0</v>
      </c>
      <c r="J41" s="16">
        <v>3</v>
      </c>
      <c r="K41" s="7" t="s">
        <v>9</v>
      </c>
      <c r="N41" s="19" t="s">
        <v>13</v>
      </c>
      <c r="O41" s="19" t="s">
        <v>14</v>
      </c>
      <c r="P41" s="19" t="s">
        <v>1</v>
      </c>
      <c r="Q41" s="36" t="s">
        <v>52</v>
      </c>
      <c r="R41" s="36" t="s">
        <v>52</v>
      </c>
      <c r="S41" s="97"/>
      <c r="T41" s="99" t="s">
        <v>1</v>
      </c>
      <c r="U41" s="99" t="s">
        <v>1</v>
      </c>
      <c r="V41" s="99" t="s">
        <v>14</v>
      </c>
      <c r="W41" s="99" t="s">
        <v>52</v>
      </c>
      <c r="X41" s="99" t="s">
        <v>52</v>
      </c>
    </row>
    <row r="42" spans="1:24">
      <c r="A42" s="8"/>
      <c r="B42" s="6"/>
      <c r="C42" s="6"/>
      <c r="D42" s="6"/>
      <c r="E42" s="6"/>
      <c r="F42" s="6"/>
      <c r="G42" s="6"/>
      <c r="H42" s="6"/>
      <c r="I42" s="6"/>
      <c r="J42" s="6"/>
      <c r="K42" s="7"/>
      <c r="N42" s="80">
        <v>1</v>
      </c>
      <c r="O42" s="23">
        <v>32</v>
      </c>
      <c r="P42" s="52">
        <v>1.09958848711957</v>
      </c>
      <c r="Q42" s="44">
        <v>31.684648208625973</v>
      </c>
      <c r="R42" s="52">
        <v>21.060788461476314</v>
      </c>
      <c r="T42" s="105">
        <v>0.42</v>
      </c>
      <c r="U42" s="105">
        <v>0.39</v>
      </c>
      <c r="V42" s="105">
        <v>6.26</v>
      </c>
      <c r="W42" s="106" t="s">
        <v>58</v>
      </c>
      <c r="X42" s="107" t="s">
        <v>10</v>
      </c>
    </row>
    <row r="43" spans="1:24">
      <c r="A43" s="8"/>
      <c r="B43" s="6"/>
      <c r="C43" s="6"/>
      <c r="D43" s="6"/>
      <c r="E43" s="6"/>
      <c r="F43" s="6"/>
      <c r="G43" s="6"/>
      <c r="H43" s="6"/>
      <c r="I43" s="6"/>
      <c r="J43" s="6"/>
      <c r="K43" s="7"/>
      <c r="N43" s="81">
        <v>3</v>
      </c>
      <c r="O43" s="24">
        <v>20</v>
      </c>
      <c r="P43" s="52">
        <v>0.8351889301978126</v>
      </c>
      <c r="Q43" s="50">
        <v>15.887835469967344</v>
      </c>
      <c r="R43" s="52">
        <v>7.800437360200382</v>
      </c>
      <c r="T43" s="108">
        <v>0.5</v>
      </c>
      <c r="U43" s="108">
        <v>0.46</v>
      </c>
      <c r="V43" s="108">
        <v>8.44</v>
      </c>
      <c r="W43" s="106">
        <v>1.5410130824225534</v>
      </c>
      <c r="X43" s="106" t="s">
        <v>10</v>
      </c>
    </row>
    <row r="44" spans="1:24">
      <c r="A44" s="8"/>
      <c r="B44" s="6"/>
      <c r="C44" s="15" t="s">
        <v>87</v>
      </c>
      <c r="D44" s="14" t="s">
        <v>10</v>
      </c>
      <c r="E44" s="6" t="s">
        <v>86</v>
      </c>
      <c r="F44" s="6"/>
      <c r="G44" s="6"/>
      <c r="H44" s="6"/>
      <c r="I44" s="6"/>
      <c r="J44" s="6"/>
      <c r="K44" s="7"/>
      <c r="N44" s="81">
        <v>5</v>
      </c>
      <c r="O44" s="24">
        <v>15</v>
      </c>
      <c r="P44" s="52">
        <v>0.70498685964026908</v>
      </c>
      <c r="Q44" s="50">
        <v>9.4611783019264717</v>
      </c>
      <c r="R44" s="52">
        <v>3.0141663268872394</v>
      </c>
      <c r="T44" s="108">
        <v>0.56999999999999995</v>
      </c>
      <c r="U44" s="108">
        <v>0.52</v>
      </c>
      <c r="V44" s="108">
        <v>10.52</v>
      </c>
      <c r="W44" s="106">
        <v>3.8163049407358431</v>
      </c>
      <c r="X44" s="106" t="s">
        <v>58</v>
      </c>
    </row>
    <row r="45" spans="1:24">
      <c r="A45" s="8"/>
      <c r="B45" s="6"/>
      <c r="C45" s="13"/>
      <c r="D45" s="14"/>
      <c r="E45" s="6"/>
      <c r="F45" s="6"/>
      <c r="G45" s="6"/>
      <c r="H45" s="6"/>
      <c r="I45" s="6"/>
      <c r="J45" s="6"/>
      <c r="K45" s="7"/>
      <c r="N45" s="81">
        <v>7</v>
      </c>
      <c r="O45" s="24">
        <v>13</v>
      </c>
      <c r="P45" s="52">
        <v>0.64786255001032722</v>
      </c>
      <c r="Q45" s="50">
        <v>6.6888132579165429</v>
      </c>
      <c r="R45" s="52">
        <v>1.2547591539546032</v>
      </c>
      <c r="T45" s="108">
        <v>0.7</v>
      </c>
      <c r="U45" s="108">
        <v>0.62</v>
      </c>
      <c r="V45" s="108">
        <v>14.72</v>
      </c>
      <c r="W45" s="106">
        <v>8.8814348123661553</v>
      </c>
      <c r="X45" s="106">
        <v>2.6230428518806206</v>
      </c>
    </row>
    <row r="46" spans="1:24">
      <c r="A46" s="8"/>
      <c r="B46" s="6"/>
      <c r="C46" s="15" t="s">
        <v>88</v>
      </c>
      <c r="D46" s="14" t="s">
        <v>10</v>
      </c>
      <c r="E46" s="6" t="s">
        <v>89</v>
      </c>
      <c r="F46" s="6"/>
      <c r="G46" s="6"/>
      <c r="H46" s="6"/>
      <c r="I46" s="6"/>
      <c r="J46" s="6"/>
      <c r="K46" s="7"/>
      <c r="N46" s="81">
        <v>10</v>
      </c>
      <c r="O46" s="24">
        <v>11</v>
      </c>
      <c r="P46" s="52">
        <v>0.58688020349648773</v>
      </c>
      <c r="Q46" s="50">
        <v>4.2572383052016836</v>
      </c>
      <c r="R46" s="52">
        <v>0.11761550482859254</v>
      </c>
      <c r="T46" s="100">
        <v>0.8</v>
      </c>
      <c r="U46" s="100">
        <v>0.7</v>
      </c>
      <c r="V46" s="100">
        <v>18.55</v>
      </c>
      <c r="W46" s="103">
        <v>13.843</v>
      </c>
      <c r="X46" s="103">
        <v>6.2110000000000003</v>
      </c>
    </row>
    <row r="47" spans="1:24">
      <c r="A47" s="9"/>
      <c r="B47" s="10"/>
      <c r="C47" s="10"/>
      <c r="D47" s="10"/>
      <c r="E47" s="10" t="s">
        <v>90</v>
      </c>
      <c r="F47" s="10"/>
      <c r="G47" s="10"/>
      <c r="H47" s="10"/>
      <c r="I47" s="10"/>
      <c r="J47" s="10"/>
      <c r="K47" s="11"/>
      <c r="N47" s="81">
        <v>11.5</v>
      </c>
      <c r="O47" s="24">
        <v>10.52</v>
      </c>
      <c r="P47" s="52">
        <v>0.56999999999999995</v>
      </c>
      <c r="Q47" s="50">
        <v>3.8159999999999998</v>
      </c>
      <c r="R47" s="52">
        <v>0</v>
      </c>
      <c r="T47" s="100">
        <v>0.9</v>
      </c>
      <c r="U47" s="100">
        <v>0.78</v>
      </c>
      <c r="V47" s="100">
        <v>22.73</v>
      </c>
      <c r="W47" s="103">
        <v>19.489999999999998</v>
      </c>
      <c r="X47" s="103">
        <v>10.701000000000001</v>
      </c>
    </row>
    <row r="48" spans="1:24">
      <c r="A48" s="3"/>
      <c r="B48" s="4"/>
      <c r="C48" s="4"/>
      <c r="D48" s="4"/>
      <c r="E48" s="4"/>
      <c r="F48" s="4"/>
      <c r="G48" s="4"/>
      <c r="H48" s="4"/>
      <c r="I48" s="4"/>
      <c r="J48" s="4"/>
      <c r="K48" s="5"/>
      <c r="N48" s="81">
        <v>13</v>
      </c>
      <c r="O48" s="24">
        <v>10</v>
      </c>
      <c r="P48" s="52">
        <v>0.55465175519604815</v>
      </c>
      <c r="Q48" s="50">
        <v>3.3917423194898459</v>
      </c>
      <c r="R48" s="94" t="s">
        <v>10</v>
      </c>
      <c r="T48" s="100">
        <v>1</v>
      </c>
      <c r="U48" s="100">
        <v>0.86</v>
      </c>
      <c r="V48" s="100">
        <v>27.23</v>
      </c>
      <c r="W48" s="103">
        <v>25.747</v>
      </c>
      <c r="X48" s="103">
        <v>15.936999999999999</v>
      </c>
    </row>
    <row r="49" spans="1:24">
      <c r="A49" s="142" t="s">
        <v>91</v>
      </c>
      <c r="B49" s="143"/>
      <c r="C49" s="143"/>
      <c r="D49" s="143"/>
      <c r="E49" s="6"/>
      <c r="F49" s="6"/>
      <c r="G49" s="6"/>
      <c r="H49" s="6"/>
      <c r="I49" s="6"/>
      <c r="J49" s="6"/>
      <c r="K49" s="7"/>
      <c r="N49" s="81">
        <v>20</v>
      </c>
      <c r="O49" s="24">
        <v>8.5</v>
      </c>
      <c r="P49" s="52">
        <v>0.50366681096853594</v>
      </c>
      <c r="Q49" s="50">
        <v>1.5410130824225534</v>
      </c>
      <c r="R49" s="94" t="s">
        <v>10</v>
      </c>
      <c r="T49" s="101">
        <v>1.1000000000000001</v>
      </c>
      <c r="U49" s="101">
        <v>0.93</v>
      </c>
      <c r="V49" s="101">
        <v>32.020000000000003</v>
      </c>
      <c r="W49" s="104">
        <v>31.696999999999999</v>
      </c>
      <c r="X49" s="104">
        <v>21.056999999999999</v>
      </c>
    </row>
    <row r="50" spans="1:24">
      <c r="A50" s="8"/>
      <c r="B50" s="6"/>
      <c r="C50" s="6"/>
      <c r="D50" s="6"/>
      <c r="E50" s="6"/>
      <c r="F50" s="6"/>
      <c r="G50" s="6"/>
      <c r="H50" s="6"/>
      <c r="I50" s="6"/>
      <c r="J50" s="6"/>
      <c r="K50" s="7"/>
      <c r="N50" s="81">
        <v>30</v>
      </c>
      <c r="O50" s="24">
        <v>7.5</v>
      </c>
      <c r="P50" s="52">
        <v>0.46757583792199459</v>
      </c>
      <c r="Q50" s="50">
        <v>0.6891116918547433</v>
      </c>
      <c r="R50" s="94" t="s">
        <v>10</v>
      </c>
    </row>
    <row r="51" spans="1:24" ht="55.8">
      <c r="A51" s="8"/>
      <c r="B51" s="6"/>
      <c r="C51" s="6"/>
      <c r="D51" s="6"/>
      <c r="E51" s="120" t="s">
        <v>92</v>
      </c>
      <c r="F51" s="120" t="s">
        <v>94</v>
      </c>
      <c r="G51" s="6"/>
      <c r="H51" s="6"/>
      <c r="I51" s="6"/>
      <c r="J51" s="6"/>
      <c r="K51" s="7"/>
      <c r="N51" s="81">
        <v>40</v>
      </c>
      <c r="O51" s="24">
        <v>6.5</v>
      </c>
      <c r="P51" s="52">
        <v>0.42943666956189741</v>
      </c>
      <c r="Q51" s="50">
        <v>0.1075854848912958</v>
      </c>
      <c r="R51" s="94" t="s">
        <v>10</v>
      </c>
    </row>
    <row r="52" spans="1:24">
      <c r="A52" s="8"/>
      <c r="B52" s="6"/>
      <c r="C52" s="6"/>
      <c r="D52" s="6"/>
      <c r="E52" s="19" t="s">
        <v>13</v>
      </c>
      <c r="F52" s="19" t="s">
        <v>14</v>
      </c>
      <c r="G52" s="6"/>
      <c r="H52" s="6"/>
      <c r="I52" s="6"/>
      <c r="J52" s="6"/>
      <c r="K52" s="7"/>
      <c r="N52" s="24">
        <v>44</v>
      </c>
      <c r="O52" s="24">
        <v>6.26</v>
      </c>
      <c r="P52" s="52">
        <v>0.42</v>
      </c>
      <c r="Q52" s="50">
        <v>0</v>
      </c>
      <c r="R52" s="94" t="s">
        <v>10</v>
      </c>
    </row>
    <row r="53" spans="1:24">
      <c r="A53" s="8"/>
      <c r="B53" s="6"/>
      <c r="C53" s="6"/>
      <c r="D53" s="6"/>
      <c r="E53" s="27">
        <v>1</v>
      </c>
      <c r="F53" s="23">
        <v>32</v>
      </c>
      <c r="G53" s="6"/>
      <c r="H53" s="6"/>
      <c r="I53" s="6"/>
      <c r="J53" s="6"/>
      <c r="K53" s="7"/>
      <c r="N53" s="19">
        <v>50</v>
      </c>
      <c r="O53" s="25">
        <v>6</v>
      </c>
      <c r="P53" s="53">
        <v>0.40945834899498185</v>
      </c>
      <c r="Q53" s="93" t="s">
        <v>10</v>
      </c>
      <c r="R53" s="95" t="s">
        <v>10</v>
      </c>
    </row>
    <row r="54" spans="1:24">
      <c r="A54" s="8"/>
      <c r="B54" s="6"/>
      <c r="C54" s="6"/>
      <c r="D54" s="6"/>
      <c r="E54" s="28">
        <v>3</v>
      </c>
      <c r="F54" s="24">
        <v>20</v>
      </c>
      <c r="G54" s="6"/>
      <c r="H54" s="6"/>
      <c r="I54" s="6"/>
      <c r="J54" s="6"/>
      <c r="K54" s="7"/>
    </row>
    <row r="55" spans="1:24">
      <c r="A55" s="8"/>
      <c r="B55" s="6"/>
      <c r="C55" s="6"/>
      <c r="D55" s="6"/>
      <c r="E55" s="28">
        <v>5</v>
      </c>
      <c r="F55" s="24">
        <v>15</v>
      </c>
      <c r="G55" s="6"/>
      <c r="H55" s="6"/>
      <c r="I55" s="6"/>
      <c r="J55" s="6"/>
      <c r="K55" s="7"/>
    </row>
    <row r="56" spans="1:24">
      <c r="A56" s="8"/>
      <c r="B56" s="6"/>
      <c r="C56" s="6"/>
      <c r="D56" s="6"/>
      <c r="E56" s="28">
        <v>7</v>
      </c>
      <c r="F56" s="24">
        <v>13</v>
      </c>
      <c r="G56" s="6"/>
      <c r="H56" s="6"/>
      <c r="I56" s="6"/>
      <c r="J56" s="6"/>
      <c r="K56" s="7"/>
    </row>
    <row r="57" spans="1:24">
      <c r="A57" s="8"/>
      <c r="B57" s="6"/>
      <c r="C57" s="6"/>
      <c r="D57" s="6"/>
      <c r="E57" s="28">
        <v>10</v>
      </c>
      <c r="F57" s="24">
        <v>11</v>
      </c>
      <c r="G57" s="6"/>
      <c r="H57" s="6"/>
      <c r="I57" s="6"/>
      <c r="J57" s="6"/>
      <c r="K57" s="7"/>
    </row>
    <row r="58" spans="1:24">
      <c r="A58" s="8"/>
      <c r="B58" s="6"/>
      <c r="C58" s="6"/>
      <c r="D58" s="6"/>
      <c r="E58" s="28">
        <v>13</v>
      </c>
      <c r="F58" s="24">
        <v>10</v>
      </c>
      <c r="G58" s="6"/>
      <c r="H58" s="6"/>
      <c r="I58" s="6"/>
      <c r="J58" s="6"/>
      <c r="K58" s="7"/>
    </row>
    <row r="59" spans="1:24">
      <c r="A59" s="8"/>
      <c r="B59" s="6"/>
      <c r="C59" s="6"/>
      <c r="D59" s="6"/>
      <c r="E59" s="28">
        <v>20</v>
      </c>
      <c r="F59" s="24">
        <v>8.5</v>
      </c>
      <c r="G59" s="6"/>
      <c r="H59" s="6"/>
      <c r="I59" s="6"/>
      <c r="J59" s="6"/>
      <c r="K59" s="7"/>
    </row>
    <row r="60" spans="1:24">
      <c r="A60" s="8"/>
      <c r="B60" s="6"/>
      <c r="C60" s="6"/>
      <c r="D60" s="6"/>
      <c r="E60" s="28">
        <v>30</v>
      </c>
      <c r="F60" s="24">
        <v>7.5</v>
      </c>
      <c r="G60" s="6"/>
      <c r="H60" s="6"/>
      <c r="I60" s="6"/>
      <c r="J60" s="6"/>
      <c r="K60" s="7"/>
    </row>
    <row r="61" spans="1:24">
      <c r="A61" s="8"/>
      <c r="B61" s="6"/>
      <c r="C61" s="6"/>
      <c r="D61" s="6"/>
      <c r="E61" s="28">
        <v>40</v>
      </c>
      <c r="F61" s="24">
        <v>6.5</v>
      </c>
      <c r="G61" s="6"/>
      <c r="H61" s="6"/>
      <c r="I61" s="6"/>
      <c r="J61" s="6"/>
      <c r="K61" s="7"/>
    </row>
    <row r="62" spans="1:24">
      <c r="A62" s="8"/>
      <c r="B62" s="6"/>
      <c r="C62" s="6"/>
      <c r="D62" s="6"/>
      <c r="E62" s="19">
        <v>50</v>
      </c>
      <c r="F62" s="25">
        <v>6</v>
      </c>
      <c r="G62" s="6"/>
      <c r="H62" s="6"/>
      <c r="I62" s="6"/>
      <c r="J62" s="6"/>
      <c r="K62" s="7"/>
    </row>
    <row r="63" spans="1:2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1"/>
    </row>
    <row r="64" spans="1:24">
      <c r="A64" s="3"/>
      <c r="B64" s="4"/>
      <c r="C64" s="4"/>
      <c r="D64" s="4"/>
      <c r="E64" s="4"/>
      <c r="F64" s="4"/>
      <c r="G64" s="4"/>
      <c r="H64" s="4"/>
      <c r="I64" s="4"/>
      <c r="J64" s="4"/>
      <c r="K64" s="5"/>
    </row>
    <row r="65" spans="1:11">
      <c r="E65" s="6"/>
      <c r="F65" s="6"/>
      <c r="G65" s="6"/>
      <c r="H65" s="6"/>
      <c r="I65" s="6"/>
      <c r="J65" s="6"/>
      <c r="K65" s="7"/>
    </row>
    <row r="66" spans="1:11">
      <c r="A66" s="8"/>
      <c r="B66" s="6"/>
      <c r="C66" s="6"/>
      <c r="D66" s="6"/>
      <c r="E66" s="6"/>
      <c r="F66" s="6"/>
      <c r="G66" s="6"/>
      <c r="H66" s="6"/>
      <c r="I66" s="6"/>
      <c r="J66" s="6"/>
      <c r="K66" s="7"/>
    </row>
    <row r="67" spans="1:11">
      <c r="A67" s="8"/>
      <c r="B67" s="6"/>
      <c r="C67" s="6"/>
      <c r="D67" s="6"/>
      <c r="E67" s="6"/>
      <c r="F67" s="6"/>
      <c r="G67" s="6"/>
      <c r="H67" s="6"/>
      <c r="I67" s="6"/>
      <c r="J67" s="6"/>
      <c r="K67" s="7"/>
    </row>
    <row r="68" spans="1:11">
      <c r="A68" s="8"/>
      <c r="B68" s="6"/>
      <c r="C68" s="6"/>
      <c r="D68" s="6"/>
      <c r="E68" s="6"/>
      <c r="F68" s="6"/>
      <c r="G68" s="6"/>
      <c r="H68" s="6"/>
      <c r="I68" s="6"/>
      <c r="J68" s="6"/>
      <c r="K68" s="7"/>
    </row>
    <row r="69" spans="1:11">
      <c r="A69" s="8"/>
      <c r="B69" s="6"/>
      <c r="C69" s="6"/>
      <c r="D69" s="6"/>
      <c r="E69" s="6"/>
      <c r="F69" s="6"/>
      <c r="G69" s="6"/>
      <c r="H69" s="6"/>
      <c r="I69" s="6"/>
      <c r="J69" s="6"/>
      <c r="K69" s="7"/>
    </row>
    <row r="70" spans="1:11">
      <c r="A70" s="8"/>
      <c r="B70" s="6"/>
      <c r="C70" s="6"/>
      <c r="D70" s="6"/>
      <c r="E70" s="6"/>
      <c r="F70" s="6"/>
      <c r="G70" s="6"/>
      <c r="H70" s="6"/>
      <c r="I70" s="6"/>
      <c r="J70" s="6"/>
      <c r="K70" s="7"/>
    </row>
    <row r="71" spans="1:11">
      <c r="A71" s="142" t="s">
        <v>93</v>
      </c>
      <c r="B71" s="143"/>
      <c r="C71" s="143"/>
      <c r="D71" s="143"/>
      <c r="E71" s="6"/>
      <c r="F71" s="6"/>
      <c r="G71" s="6"/>
      <c r="H71" s="6"/>
      <c r="I71" s="6"/>
      <c r="J71" s="6"/>
      <c r="K71" s="7"/>
    </row>
    <row r="72" spans="1:11">
      <c r="A72" s="8"/>
      <c r="B72" s="6"/>
      <c r="C72" s="6"/>
      <c r="D72" s="6"/>
      <c r="E72" s="6"/>
      <c r="F72" s="6"/>
      <c r="G72" s="6"/>
      <c r="H72" s="6"/>
      <c r="I72" s="6"/>
      <c r="J72" s="6"/>
      <c r="K72" s="7"/>
    </row>
    <row r="73" spans="1:11">
      <c r="A73" s="8"/>
      <c r="B73" s="6"/>
      <c r="C73" s="6"/>
      <c r="D73" s="6"/>
      <c r="E73" s="6"/>
      <c r="F73" s="6"/>
      <c r="G73" s="6"/>
      <c r="H73" s="6"/>
      <c r="I73" s="6"/>
      <c r="J73" s="6"/>
      <c r="K73" s="7"/>
    </row>
    <row r="74" spans="1:11">
      <c r="A74" s="8"/>
      <c r="B74" s="6"/>
      <c r="C74" s="6"/>
      <c r="D74" s="6"/>
      <c r="E74" s="6"/>
      <c r="F74" s="6"/>
      <c r="G74" s="6"/>
      <c r="H74" s="6"/>
      <c r="I74" s="6"/>
      <c r="J74" s="6"/>
      <c r="K74" s="7"/>
    </row>
    <row r="75" spans="1:11">
      <c r="A75" s="8"/>
      <c r="B75" s="6"/>
      <c r="C75" s="6"/>
      <c r="D75" s="6"/>
      <c r="E75" s="6"/>
      <c r="F75" s="6"/>
      <c r="G75" s="6"/>
      <c r="H75" s="6"/>
      <c r="I75" s="6"/>
      <c r="J75" s="6"/>
      <c r="K75" s="7"/>
    </row>
    <row r="76" spans="1:11">
      <c r="A76" s="8"/>
      <c r="B76" s="6"/>
      <c r="C76" s="6"/>
      <c r="D76" s="6"/>
      <c r="E76" s="6"/>
      <c r="F76" s="6"/>
      <c r="G76" s="6"/>
      <c r="H76" s="6"/>
      <c r="I76" s="6"/>
      <c r="J76" s="6"/>
      <c r="K76" s="7"/>
    </row>
    <row r="77" spans="1:11">
      <c r="A77" s="8"/>
      <c r="B77" s="6"/>
      <c r="C77" s="6"/>
      <c r="D77" s="6"/>
      <c r="E77" s="6"/>
      <c r="F77" s="6"/>
      <c r="G77" s="6"/>
      <c r="H77" s="6"/>
      <c r="I77" s="6"/>
      <c r="J77" s="6"/>
      <c r="K77" s="7"/>
    </row>
    <row r="78" spans="1:11">
      <c r="A78" s="8"/>
      <c r="B78" s="6"/>
      <c r="C78" s="6"/>
      <c r="D78" s="6"/>
      <c r="E78" s="6"/>
      <c r="F78" s="6"/>
      <c r="G78" s="6"/>
      <c r="H78" s="6"/>
      <c r="I78" s="6"/>
      <c r="J78" s="6"/>
      <c r="K78" s="7"/>
    </row>
    <row r="79" spans="1:11">
      <c r="A79" s="8"/>
      <c r="B79" s="6"/>
      <c r="C79" s="6"/>
      <c r="D79" s="6"/>
      <c r="E79" s="6"/>
      <c r="F79" s="6"/>
      <c r="G79" s="6"/>
      <c r="H79" s="6"/>
      <c r="I79" s="6"/>
      <c r="J79" s="6"/>
      <c r="K79" s="7"/>
    </row>
    <row r="80" spans="1:11">
      <c r="A80" s="8"/>
      <c r="B80" s="6"/>
      <c r="C80" s="6"/>
      <c r="D80" s="6"/>
      <c r="E80" s="6"/>
      <c r="F80" s="6"/>
      <c r="G80" s="6"/>
      <c r="H80" s="6"/>
      <c r="I80" s="6"/>
      <c r="J80" s="6"/>
      <c r="K80" s="7"/>
    </row>
    <row r="81" spans="1:22">
      <c r="A81" s="8"/>
      <c r="B81" s="6"/>
      <c r="C81" s="6"/>
      <c r="D81" s="6"/>
      <c r="E81" s="6"/>
      <c r="F81" s="6"/>
      <c r="G81" s="6"/>
      <c r="H81" s="6"/>
      <c r="I81" s="6"/>
      <c r="J81" s="6"/>
      <c r="K81" s="7"/>
    </row>
    <row r="82" spans="1:22">
      <c r="A82" s="8"/>
      <c r="B82" s="6"/>
      <c r="C82" s="6"/>
      <c r="D82" s="6"/>
      <c r="E82" s="6"/>
      <c r="F82" s="6"/>
      <c r="G82" s="6"/>
      <c r="H82" s="6"/>
      <c r="I82" s="6"/>
      <c r="J82" s="6"/>
      <c r="K82" s="7"/>
    </row>
    <row r="83" spans="1:22">
      <c r="A83" s="8"/>
      <c r="B83" s="6"/>
      <c r="C83" s="6"/>
      <c r="D83" s="6"/>
      <c r="E83" s="6"/>
      <c r="F83" s="6"/>
      <c r="G83" s="6"/>
      <c r="H83" s="6"/>
      <c r="I83" s="6"/>
      <c r="J83" s="6"/>
      <c r="K83" s="7"/>
    </row>
    <row r="84" spans="1:22">
      <c r="A84" s="8"/>
      <c r="B84" s="6"/>
      <c r="C84" s="6"/>
      <c r="D84" s="6"/>
      <c r="E84" s="6"/>
      <c r="F84" s="6"/>
      <c r="G84" s="6"/>
      <c r="H84" s="6"/>
      <c r="I84" s="6"/>
      <c r="J84" s="6"/>
      <c r="K84" s="7"/>
      <c r="N84" s="1"/>
      <c r="O84" s="1"/>
      <c r="P84" s="1"/>
      <c r="Q84" s="64" t="s">
        <v>56</v>
      </c>
    </row>
    <row r="85" spans="1:22" ht="16.2">
      <c r="A85" s="8"/>
      <c r="B85" s="6"/>
      <c r="C85" s="6"/>
      <c r="D85" s="6"/>
      <c r="E85" s="6"/>
      <c r="F85" s="6"/>
      <c r="G85" s="6"/>
      <c r="H85" s="6"/>
      <c r="I85" s="6"/>
      <c r="J85" s="6"/>
      <c r="K85" s="7"/>
      <c r="N85" s="22" t="s">
        <v>11</v>
      </c>
      <c r="O85" s="22" t="s">
        <v>12</v>
      </c>
      <c r="P85" s="22" t="s">
        <v>35</v>
      </c>
      <c r="Q85" s="35" t="s">
        <v>67</v>
      </c>
      <c r="R85" s="35" t="s">
        <v>60</v>
      </c>
      <c r="S85" s="35" t="s">
        <v>60</v>
      </c>
      <c r="T85" s="35" t="s">
        <v>67</v>
      </c>
      <c r="U85" s="35" t="s">
        <v>59</v>
      </c>
      <c r="V85" s="35" t="s">
        <v>61</v>
      </c>
    </row>
    <row r="86" spans="1:22">
      <c r="A86" s="8"/>
      <c r="B86" s="6"/>
      <c r="C86" s="6"/>
      <c r="D86" s="6"/>
      <c r="E86" s="6"/>
      <c r="F86" s="6"/>
      <c r="G86" s="6"/>
      <c r="H86" s="6"/>
      <c r="I86" s="6"/>
      <c r="J86" s="6"/>
      <c r="K86" s="7"/>
      <c r="N86" s="19" t="s">
        <v>13</v>
      </c>
      <c r="O86" s="19" t="s">
        <v>14</v>
      </c>
      <c r="P86" s="19" t="s">
        <v>1</v>
      </c>
      <c r="Q86" s="36" t="s">
        <v>52</v>
      </c>
      <c r="R86" s="36" t="s">
        <v>13</v>
      </c>
      <c r="S86" s="36" t="s">
        <v>63</v>
      </c>
      <c r="T86" s="36" t="s">
        <v>52</v>
      </c>
      <c r="U86" s="36" t="s">
        <v>52</v>
      </c>
      <c r="V86" s="36" t="s">
        <v>64</v>
      </c>
    </row>
    <row r="87" spans="1:22">
      <c r="A87" s="8"/>
      <c r="B87" s="6"/>
      <c r="C87" s="6"/>
      <c r="D87" s="6"/>
      <c r="E87" s="6"/>
      <c r="F87" s="6"/>
      <c r="G87" s="6"/>
      <c r="H87" s="6"/>
      <c r="I87" s="6"/>
      <c r="J87" s="6"/>
      <c r="K87" s="7"/>
      <c r="N87" s="80">
        <v>1</v>
      </c>
      <c r="O87" s="23">
        <v>32</v>
      </c>
      <c r="P87" s="52">
        <v>1.09958848711957</v>
      </c>
      <c r="Q87" s="44">
        <v>31.684648208625973</v>
      </c>
      <c r="R87" s="44">
        <f>N87</f>
        <v>1</v>
      </c>
      <c r="S87" s="112">
        <f>R87*24*3600</f>
        <v>86400</v>
      </c>
      <c r="T87" s="112">
        <f>ROUND(Q87,2)</f>
        <v>31.68</v>
      </c>
      <c r="U87" s="112"/>
      <c r="V87" s="112">
        <f>T87*S87/1000</f>
        <v>2737.152</v>
      </c>
    </row>
    <row r="88" spans="1:22">
      <c r="A88" s="8"/>
      <c r="B88" s="6"/>
      <c r="C88" s="6"/>
      <c r="D88" s="6"/>
      <c r="E88" s="6"/>
      <c r="F88" s="6"/>
      <c r="G88" s="6"/>
      <c r="H88" s="6"/>
      <c r="I88" s="6"/>
      <c r="J88" s="6"/>
      <c r="K88" s="7"/>
      <c r="N88" s="81">
        <v>3</v>
      </c>
      <c r="O88" s="24">
        <v>20</v>
      </c>
      <c r="P88" s="52">
        <v>0.8351889301978126</v>
      </c>
      <c r="Q88" s="50">
        <v>15.887835469967344</v>
      </c>
      <c r="R88" s="50">
        <f>N88-N87</f>
        <v>2</v>
      </c>
      <c r="S88" s="52">
        <f t="shared" ref="S88:S96" si="0">R88*24*3600</f>
        <v>172800</v>
      </c>
      <c r="T88" s="52">
        <f>ROUND(Q88,2)</f>
        <v>15.89</v>
      </c>
      <c r="U88" s="52">
        <f>AVERAGE(T87:T88)</f>
        <v>23.785</v>
      </c>
      <c r="V88" s="52">
        <f>U88*S88/1000</f>
        <v>4110.0479999999998</v>
      </c>
    </row>
    <row r="89" spans="1:22" ht="16.2">
      <c r="A89" s="8"/>
      <c r="B89" s="6" t="s">
        <v>95</v>
      </c>
      <c r="C89" s="6"/>
      <c r="D89" s="6"/>
      <c r="E89" s="6"/>
      <c r="F89" s="13" t="s">
        <v>15</v>
      </c>
      <c r="G89" s="14" t="s">
        <v>0</v>
      </c>
      <c r="H89" s="21">
        <v>1.5</v>
      </c>
      <c r="I89" s="6" t="s">
        <v>16</v>
      </c>
      <c r="J89" s="6"/>
      <c r="K89" s="7"/>
      <c r="N89" s="81">
        <v>5</v>
      </c>
      <c r="O89" s="24">
        <v>15</v>
      </c>
      <c r="P89" s="52">
        <v>0.70498685964026908</v>
      </c>
      <c r="Q89" s="50">
        <v>9.4611783019264717</v>
      </c>
      <c r="R89" s="50">
        <f>N89-N88</f>
        <v>2</v>
      </c>
      <c r="S89" s="52">
        <f t="shared" si="0"/>
        <v>172800</v>
      </c>
      <c r="T89" s="52">
        <f t="shared" ref="T89:T95" si="1">ROUND(Q89,2)</f>
        <v>9.4600000000000009</v>
      </c>
      <c r="U89" s="52">
        <f t="shared" ref="U89:U95" si="2">AVERAGE(T88:T89)</f>
        <v>12.675000000000001</v>
      </c>
      <c r="V89" s="52">
        <f>U89*S89/1000</f>
        <v>2190.2399999999998</v>
      </c>
    </row>
    <row r="90" spans="1:22">
      <c r="A90" s="8"/>
      <c r="B90" s="6"/>
      <c r="C90" s="6"/>
      <c r="D90" s="6"/>
      <c r="E90" s="6"/>
      <c r="F90" s="6"/>
      <c r="G90" s="6"/>
      <c r="H90" s="6"/>
      <c r="I90" s="6"/>
      <c r="J90" s="6"/>
      <c r="K90" s="7"/>
      <c r="N90" s="81">
        <v>7</v>
      </c>
      <c r="O90" s="24">
        <v>13</v>
      </c>
      <c r="P90" s="52">
        <v>0.64786255001032722</v>
      </c>
      <c r="Q90" s="50">
        <v>6.6888132579165429</v>
      </c>
      <c r="R90" s="50">
        <f>N90-N89</f>
        <v>2</v>
      </c>
      <c r="S90" s="52">
        <f t="shared" si="0"/>
        <v>172800</v>
      </c>
      <c r="T90" s="52">
        <f t="shared" si="1"/>
        <v>6.69</v>
      </c>
      <c r="U90" s="52">
        <f>AVERAGE(T89:T90)</f>
        <v>8.0750000000000011</v>
      </c>
      <c r="V90" s="52">
        <f t="shared" ref="V90:V96" si="3">U90*S90/1000</f>
        <v>1395.3600000000001</v>
      </c>
    </row>
    <row r="91" spans="1:22" ht="16.2">
      <c r="A91" s="8"/>
      <c r="B91" s="6" t="s">
        <v>96</v>
      </c>
      <c r="C91" s="6"/>
      <c r="D91" s="6"/>
      <c r="E91" s="6"/>
      <c r="F91" s="13" t="s">
        <v>34</v>
      </c>
      <c r="G91" s="14" t="s">
        <v>0</v>
      </c>
      <c r="H91" s="21">
        <v>2</v>
      </c>
      <c r="I91" s="6" t="s">
        <v>16</v>
      </c>
      <c r="J91" s="6"/>
      <c r="K91" s="7"/>
      <c r="N91" s="81">
        <v>10</v>
      </c>
      <c r="O91" s="24">
        <v>11</v>
      </c>
      <c r="P91" s="52">
        <v>0.58688020349648773</v>
      </c>
      <c r="Q91" s="50">
        <v>4.2572383052016836</v>
      </c>
      <c r="R91" s="50">
        <f>N91-N90</f>
        <v>3</v>
      </c>
      <c r="S91" s="52">
        <f t="shared" si="0"/>
        <v>259200</v>
      </c>
      <c r="T91" s="52">
        <f t="shared" si="1"/>
        <v>4.26</v>
      </c>
      <c r="U91" s="52">
        <f t="shared" si="2"/>
        <v>5.4749999999999996</v>
      </c>
      <c r="V91" s="52">
        <f t="shared" si="3"/>
        <v>1419.12</v>
      </c>
    </row>
    <row r="92" spans="1:22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1"/>
      <c r="N92" s="81">
        <v>13</v>
      </c>
      <c r="O92" s="24">
        <v>10</v>
      </c>
      <c r="P92" s="52">
        <v>0.55465175519604815</v>
      </c>
      <c r="Q92" s="50">
        <v>3.3917423194898459</v>
      </c>
      <c r="R92" s="50">
        <f t="shared" ref="R92:R96" si="4">N92-N91</f>
        <v>3</v>
      </c>
      <c r="S92" s="52">
        <f t="shared" si="0"/>
        <v>259200</v>
      </c>
      <c r="T92" s="52">
        <f t="shared" si="1"/>
        <v>3.39</v>
      </c>
      <c r="U92" s="52">
        <f>AVERAGE(T91:T92)</f>
        <v>3.8250000000000002</v>
      </c>
      <c r="V92" s="52">
        <f t="shared" si="3"/>
        <v>991.44</v>
      </c>
    </row>
    <row r="93" spans="1:22">
      <c r="A93" s="3"/>
      <c r="B93" s="4"/>
      <c r="C93" s="4"/>
      <c r="D93" s="4"/>
      <c r="E93" s="4"/>
      <c r="F93" s="4"/>
      <c r="G93" s="4"/>
      <c r="H93" s="4"/>
      <c r="I93" s="4"/>
      <c r="J93" s="4"/>
      <c r="K93" s="5"/>
      <c r="N93" s="81">
        <v>20</v>
      </c>
      <c r="O93" s="24">
        <v>8.5</v>
      </c>
      <c r="P93" s="52">
        <v>0.50366681096853594</v>
      </c>
      <c r="Q93" s="50">
        <v>1.5410130824225534</v>
      </c>
      <c r="R93" s="50">
        <f t="shared" si="4"/>
        <v>7</v>
      </c>
      <c r="S93" s="52">
        <f t="shared" si="0"/>
        <v>604800</v>
      </c>
      <c r="T93" s="52">
        <f t="shared" si="1"/>
        <v>1.54</v>
      </c>
      <c r="U93" s="52">
        <f>AVERAGE(T92:T93)</f>
        <v>2.4649999999999999</v>
      </c>
      <c r="V93" s="52">
        <f t="shared" si="3"/>
        <v>1490.8320000000001</v>
      </c>
    </row>
    <row r="94" spans="1:22">
      <c r="A94" s="142" t="s">
        <v>97</v>
      </c>
      <c r="B94" s="143"/>
      <c r="C94" s="143"/>
      <c r="D94" s="6"/>
      <c r="E94" s="6"/>
      <c r="F94" s="6"/>
      <c r="G94" s="6"/>
      <c r="H94" s="6"/>
      <c r="I94" s="6"/>
      <c r="J94" s="6"/>
      <c r="K94" s="7"/>
      <c r="N94" s="81">
        <v>30</v>
      </c>
      <c r="O94" s="24">
        <v>7.5</v>
      </c>
      <c r="P94" s="52">
        <v>0.46757583792199459</v>
      </c>
      <c r="Q94" s="50">
        <v>0.6891116918547433</v>
      </c>
      <c r="R94" s="50">
        <f t="shared" si="4"/>
        <v>10</v>
      </c>
      <c r="S94" s="52">
        <f t="shared" si="0"/>
        <v>864000</v>
      </c>
      <c r="T94" s="52">
        <f t="shared" si="1"/>
        <v>0.69</v>
      </c>
      <c r="U94" s="52">
        <f t="shared" si="2"/>
        <v>1.115</v>
      </c>
      <c r="V94" s="52">
        <f t="shared" si="3"/>
        <v>963.36</v>
      </c>
    </row>
    <row r="95" spans="1:22">
      <c r="A95" s="8"/>
      <c r="B95" s="6"/>
      <c r="C95" s="6"/>
      <c r="D95" s="6"/>
      <c r="E95" s="6"/>
      <c r="F95" s="6"/>
      <c r="G95" s="6"/>
      <c r="H95" s="6"/>
      <c r="I95" s="6"/>
      <c r="J95" s="6"/>
      <c r="K95" s="7"/>
      <c r="N95" s="81">
        <v>40</v>
      </c>
      <c r="O95" s="24">
        <v>6.5</v>
      </c>
      <c r="P95" s="52">
        <v>0.42943666956189741</v>
      </c>
      <c r="Q95" s="50">
        <v>0.1075854848912958</v>
      </c>
      <c r="R95" s="50">
        <f t="shared" si="4"/>
        <v>10</v>
      </c>
      <c r="S95" s="52">
        <f t="shared" si="0"/>
        <v>864000</v>
      </c>
      <c r="T95" s="52">
        <f t="shared" si="1"/>
        <v>0.11</v>
      </c>
      <c r="U95" s="52">
        <f t="shared" si="2"/>
        <v>0.39999999999999997</v>
      </c>
      <c r="V95" s="52">
        <f t="shared" si="3"/>
        <v>345.6</v>
      </c>
    </row>
    <row r="96" spans="1:22">
      <c r="A96" s="8"/>
      <c r="B96" s="14" t="s">
        <v>17</v>
      </c>
      <c r="C96" s="20" t="s">
        <v>98</v>
      </c>
      <c r="D96" s="6"/>
      <c r="E96" s="6"/>
      <c r="F96" s="6"/>
      <c r="G96" s="136" t="s">
        <v>19</v>
      </c>
      <c r="H96" s="136"/>
      <c r="I96" s="136"/>
      <c r="J96" s="6"/>
      <c r="K96" s="7"/>
      <c r="N96" s="24">
        <v>44</v>
      </c>
      <c r="O96" s="24">
        <v>6.26</v>
      </c>
      <c r="P96" s="52">
        <v>0.42</v>
      </c>
      <c r="Q96" s="50">
        <v>0</v>
      </c>
      <c r="R96" s="50">
        <f t="shared" si="4"/>
        <v>4</v>
      </c>
      <c r="S96" s="52">
        <f t="shared" si="0"/>
        <v>345600</v>
      </c>
      <c r="T96" s="52">
        <v>0</v>
      </c>
      <c r="U96" s="52">
        <f>AVERAGE(T95:T96)</f>
        <v>5.5E-2</v>
      </c>
      <c r="V96" s="52">
        <f t="shared" si="3"/>
        <v>19.007999999999999</v>
      </c>
    </row>
    <row r="97" spans="1:22">
      <c r="A97" s="8"/>
      <c r="B97" s="14"/>
      <c r="C97" s="6"/>
      <c r="D97" s="6"/>
      <c r="E97" s="6"/>
      <c r="F97" s="6"/>
      <c r="G97" s="6"/>
      <c r="H97" s="6"/>
      <c r="I97" s="6"/>
      <c r="J97" s="6"/>
      <c r="K97" s="7"/>
      <c r="N97" s="19">
        <v>50</v>
      </c>
      <c r="O97" s="25">
        <v>6</v>
      </c>
      <c r="P97" s="53">
        <v>0.40945834899498185</v>
      </c>
      <c r="Q97" s="109" t="s">
        <v>10</v>
      </c>
      <c r="R97" s="110"/>
      <c r="S97" s="111"/>
      <c r="T97" s="111"/>
      <c r="U97" s="113" t="s">
        <v>68</v>
      </c>
      <c r="V97" s="114">
        <f>SUM(V87:V96)</f>
        <v>15662.16</v>
      </c>
    </row>
    <row r="98" spans="1:22">
      <c r="A98" s="8"/>
      <c r="B98" s="14" t="s">
        <v>17</v>
      </c>
      <c r="C98" s="20" t="s">
        <v>99</v>
      </c>
      <c r="D98" s="6"/>
      <c r="E98" s="6"/>
      <c r="F98" s="6"/>
      <c r="G98" s="136" t="s">
        <v>18</v>
      </c>
      <c r="H98" s="136"/>
      <c r="I98" s="136"/>
      <c r="J98" s="6"/>
      <c r="K98" s="7"/>
    </row>
    <row r="99" spans="1:22">
      <c r="A99" s="8"/>
      <c r="B99" s="6"/>
      <c r="C99" s="6"/>
      <c r="D99" s="6"/>
      <c r="E99" s="6"/>
      <c r="F99" s="6"/>
      <c r="G99" s="6"/>
      <c r="H99" s="6"/>
      <c r="I99" s="6"/>
      <c r="J99" s="6"/>
      <c r="K99" s="7"/>
      <c r="N99" s="1"/>
      <c r="O99" s="1"/>
      <c r="P99" s="1"/>
      <c r="Q99" s="64" t="s">
        <v>57</v>
      </c>
      <c r="R99" s="1"/>
      <c r="S99" s="1"/>
      <c r="T99" s="1"/>
      <c r="U99" s="1"/>
      <c r="V99" s="1"/>
    </row>
    <row r="100" spans="1:22" ht="16.2">
      <c r="A100" s="8"/>
      <c r="B100" s="6"/>
      <c r="C100" s="6"/>
      <c r="D100" s="6"/>
      <c r="E100" s="6"/>
      <c r="F100" s="6"/>
      <c r="G100" s="6"/>
      <c r="H100" s="6"/>
      <c r="I100" s="6"/>
      <c r="J100" s="6"/>
      <c r="K100" s="7"/>
      <c r="N100" s="22" t="s">
        <v>11</v>
      </c>
      <c r="O100" s="22" t="s">
        <v>12</v>
      </c>
      <c r="P100" s="22" t="s">
        <v>35</v>
      </c>
      <c r="Q100" s="35" t="s">
        <v>67</v>
      </c>
      <c r="R100" s="35" t="s">
        <v>60</v>
      </c>
      <c r="S100" s="35" t="s">
        <v>60</v>
      </c>
      <c r="T100" s="35" t="s">
        <v>67</v>
      </c>
      <c r="U100" s="35" t="s">
        <v>59</v>
      </c>
      <c r="V100" s="35" t="s">
        <v>61</v>
      </c>
    </row>
    <row r="101" spans="1:22">
      <c r="A101" s="8"/>
      <c r="B101" s="6"/>
      <c r="C101" s="6"/>
      <c r="D101" s="6"/>
      <c r="E101" s="6"/>
      <c r="F101" s="6"/>
      <c r="G101" s="6"/>
      <c r="H101" s="6"/>
      <c r="I101" s="6"/>
      <c r="J101" s="6"/>
      <c r="K101" s="7"/>
      <c r="N101" s="19" t="s">
        <v>13</v>
      </c>
      <c r="O101" s="19" t="s">
        <v>14</v>
      </c>
      <c r="P101" s="19" t="s">
        <v>1</v>
      </c>
      <c r="Q101" s="36" t="s">
        <v>52</v>
      </c>
      <c r="R101" s="36" t="s">
        <v>13</v>
      </c>
      <c r="S101" s="36" t="s">
        <v>63</v>
      </c>
      <c r="T101" s="36" t="s">
        <v>52</v>
      </c>
      <c r="U101" s="36" t="s">
        <v>52</v>
      </c>
      <c r="V101" s="36" t="s">
        <v>64</v>
      </c>
    </row>
    <row r="102" spans="1:22">
      <c r="A102" s="8"/>
      <c r="B102" s="6"/>
      <c r="C102" s="6"/>
      <c r="D102" s="6"/>
      <c r="E102" s="6"/>
      <c r="F102" s="6"/>
      <c r="G102" s="6"/>
      <c r="H102" s="6"/>
      <c r="I102" s="6"/>
      <c r="J102" s="6"/>
      <c r="K102" s="7"/>
      <c r="N102" s="80">
        <v>1</v>
      </c>
      <c r="O102" s="23">
        <v>32</v>
      </c>
      <c r="P102" s="52">
        <v>1.09958848711957</v>
      </c>
      <c r="Q102" s="44">
        <v>21.060788461476314</v>
      </c>
      <c r="R102" s="44">
        <f>N102</f>
        <v>1</v>
      </c>
      <c r="S102" s="112">
        <f t="shared" ref="S102:S107" si="5">R102*24*3600</f>
        <v>86400</v>
      </c>
      <c r="T102" s="112">
        <f t="shared" ref="T102:T107" si="6">ROUND(Q102,2)</f>
        <v>21.06</v>
      </c>
      <c r="U102" s="112"/>
      <c r="V102" s="112">
        <f>T102*S102/1000</f>
        <v>1819.5840000000001</v>
      </c>
    </row>
    <row r="103" spans="1:22">
      <c r="A103" s="8"/>
      <c r="B103" s="6"/>
      <c r="C103" s="6"/>
      <c r="D103" s="6"/>
      <c r="E103" s="6"/>
      <c r="F103" s="6"/>
      <c r="G103" s="6"/>
      <c r="H103" s="6"/>
      <c r="I103" s="6"/>
      <c r="J103" s="6"/>
      <c r="K103" s="7"/>
      <c r="N103" s="81">
        <v>3</v>
      </c>
      <c r="O103" s="24">
        <v>20</v>
      </c>
      <c r="P103" s="52">
        <v>0.8351889301978126</v>
      </c>
      <c r="Q103" s="50">
        <v>7.800437360200382</v>
      </c>
      <c r="R103" s="50">
        <f>N103-N102</f>
        <v>2</v>
      </c>
      <c r="S103" s="52">
        <f t="shared" si="5"/>
        <v>172800</v>
      </c>
      <c r="T103" s="52">
        <f t="shared" si="6"/>
        <v>7.8</v>
      </c>
      <c r="U103" s="52">
        <f>AVERAGE(T102:T103)</f>
        <v>14.43</v>
      </c>
      <c r="V103" s="52">
        <f>U103*S103/1000</f>
        <v>2493.5039999999999</v>
      </c>
    </row>
    <row r="104" spans="1:22">
      <c r="A104" s="8"/>
      <c r="B104" s="6"/>
      <c r="C104" s="6"/>
      <c r="D104" s="6"/>
      <c r="E104" s="6"/>
      <c r="F104" s="6"/>
      <c r="G104" s="6"/>
      <c r="H104" s="6"/>
      <c r="I104" s="6"/>
      <c r="J104" s="6"/>
      <c r="K104" s="7"/>
      <c r="N104" s="81">
        <v>5</v>
      </c>
      <c r="O104" s="24">
        <v>15</v>
      </c>
      <c r="P104" s="52">
        <v>0.70498685964026908</v>
      </c>
      <c r="Q104" s="50">
        <v>3.0141663268872394</v>
      </c>
      <c r="R104" s="50">
        <f>N104-N103</f>
        <v>2</v>
      </c>
      <c r="S104" s="52">
        <f t="shared" si="5"/>
        <v>172800</v>
      </c>
      <c r="T104" s="52">
        <f t="shared" si="6"/>
        <v>3.01</v>
      </c>
      <c r="U104" s="52">
        <f>AVERAGE(T103:T104)</f>
        <v>5.4049999999999994</v>
      </c>
      <c r="V104" s="52">
        <f>U104*S104/1000</f>
        <v>933.98399999999992</v>
      </c>
    </row>
    <row r="105" spans="1:22">
      <c r="A105" s="8"/>
      <c r="B105" s="6"/>
      <c r="C105" s="6"/>
      <c r="D105" s="6"/>
      <c r="E105" s="6"/>
      <c r="F105" s="6"/>
      <c r="G105" s="6"/>
      <c r="H105" s="6"/>
      <c r="I105" s="6"/>
      <c r="J105" s="6"/>
      <c r="K105" s="7"/>
      <c r="N105" s="81">
        <v>7</v>
      </c>
      <c r="O105" s="24">
        <v>13</v>
      </c>
      <c r="P105" s="52">
        <v>0.64786255001032722</v>
      </c>
      <c r="Q105" s="50">
        <v>1.2547591539546032</v>
      </c>
      <c r="R105" s="50">
        <f>N105-N104</f>
        <v>2</v>
      </c>
      <c r="S105" s="52">
        <f t="shared" si="5"/>
        <v>172800</v>
      </c>
      <c r="T105" s="52">
        <f t="shared" si="6"/>
        <v>1.25</v>
      </c>
      <c r="U105" s="52">
        <f>AVERAGE(T104:T105)</f>
        <v>2.13</v>
      </c>
      <c r="V105" s="52">
        <f>U105*S105/1000</f>
        <v>368.06400000000002</v>
      </c>
    </row>
    <row r="106" spans="1:22">
      <c r="A106" s="8"/>
      <c r="B106" s="6"/>
      <c r="C106" s="6"/>
      <c r="D106" s="6"/>
      <c r="E106" s="6"/>
      <c r="F106" s="6"/>
      <c r="G106" s="6"/>
      <c r="H106" s="6"/>
      <c r="I106" s="6"/>
      <c r="J106" s="6"/>
      <c r="K106" s="7"/>
      <c r="N106" s="81">
        <v>10</v>
      </c>
      <c r="O106" s="24">
        <v>11</v>
      </c>
      <c r="P106" s="52">
        <v>0.58688020349648773</v>
      </c>
      <c r="Q106" s="50">
        <v>0.11761550482859254</v>
      </c>
      <c r="R106" s="50">
        <f>N106-N105</f>
        <v>3</v>
      </c>
      <c r="S106" s="52">
        <f t="shared" si="5"/>
        <v>259200</v>
      </c>
      <c r="T106" s="52">
        <f t="shared" si="6"/>
        <v>0.12</v>
      </c>
      <c r="U106" s="52">
        <f>AVERAGE(T105:T106)</f>
        <v>0.68500000000000005</v>
      </c>
      <c r="V106" s="52">
        <f>U106*S106/1000</f>
        <v>177.55199999999999</v>
      </c>
    </row>
    <row r="107" spans="1:22">
      <c r="A107" s="8"/>
      <c r="B107" s="6"/>
      <c r="C107" s="6"/>
      <c r="D107" s="6"/>
      <c r="E107" s="6"/>
      <c r="F107" s="6"/>
      <c r="G107" s="6"/>
      <c r="H107" s="6"/>
      <c r="I107" s="6"/>
      <c r="J107" s="6"/>
      <c r="K107" s="7"/>
      <c r="N107" s="81">
        <v>11.5</v>
      </c>
      <c r="O107" s="24">
        <v>10</v>
      </c>
      <c r="P107" s="52">
        <v>0.55465175519604815</v>
      </c>
      <c r="Q107" s="50">
        <v>0</v>
      </c>
      <c r="R107" s="50">
        <f>N107-N106</f>
        <v>1.5</v>
      </c>
      <c r="S107" s="52">
        <f t="shared" si="5"/>
        <v>129600</v>
      </c>
      <c r="T107" s="52">
        <f t="shared" si="6"/>
        <v>0</v>
      </c>
      <c r="U107" s="52">
        <f>AVERAGE(T106:T107)</f>
        <v>0.06</v>
      </c>
      <c r="V107" s="52">
        <f>U107*S107/1000</f>
        <v>7.7759999999999998</v>
      </c>
    </row>
    <row r="108" spans="1:22">
      <c r="A108" s="8"/>
      <c r="B108" s="6"/>
      <c r="C108" s="6"/>
      <c r="D108" s="6"/>
      <c r="E108" s="6"/>
      <c r="F108" s="6"/>
      <c r="G108" s="6"/>
      <c r="H108" s="6"/>
      <c r="I108" s="6"/>
      <c r="J108" s="6"/>
      <c r="K108" s="7"/>
      <c r="N108" s="19"/>
      <c r="O108" s="25"/>
      <c r="P108" s="53"/>
      <c r="Q108" s="109"/>
      <c r="R108" s="110"/>
      <c r="S108" s="111"/>
      <c r="T108" s="111"/>
      <c r="U108" s="113" t="s">
        <v>68</v>
      </c>
      <c r="V108" s="114">
        <f>SUM(V102:V107)</f>
        <v>5800.4639999999999</v>
      </c>
    </row>
    <row r="109" spans="1:22">
      <c r="A109" s="8"/>
      <c r="B109" s="6"/>
      <c r="C109" s="6"/>
      <c r="D109" s="6"/>
      <c r="E109" s="6"/>
      <c r="F109" s="6"/>
      <c r="G109" s="6"/>
      <c r="H109" s="6"/>
      <c r="I109" s="6"/>
      <c r="J109" s="6"/>
      <c r="K109" s="7"/>
    </row>
    <row r="110" spans="1:22">
      <c r="A110" s="8"/>
      <c r="B110" s="6"/>
      <c r="C110" s="6"/>
      <c r="D110" s="6"/>
      <c r="E110" s="6"/>
      <c r="F110" s="6"/>
      <c r="G110" s="6"/>
      <c r="H110" s="6"/>
      <c r="I110" s="6"/>
      <c r="J110" s="6"/>
      <c r="K110" s="7"/>
    </row>
    <row r="111" spans="1:22">
      <c r="A111" s="8"/>
      <c r="B111" s="6"/>
      <c r="C111" s="6"/>
      <c r="D111" s="6"/>
      <c r="E111" s="6"/>
      <c r="F111" s="6"/>
      <c r="G111" s="6"/>
      <c r="H111" s="6"/>
      <c r="I111" s="6"/>
      <c r="J111" s="6"/>
      <c r="K111" s="7"/>
    </row>
    <row r="112" spans="1:22">
      <c r="A112" s="8"/>
      <c r="B112" s="6"/>
      <c r="C112" s="6"/>
      <c r="D112" s="6"/>
      <c r="E112" s="6"/>
      <c r="F112" s="6"/>
      <c r="G112" s="6"/>
      <c r="H112" s="6"/>
      <c r="I112" s="6"/>
      <c r="J112" s="6"/>
      <c r="K112" s="7"/>
    </row>
    <row r="113" spans="1:11">
      <c r="A113" s="8"/>
      <c r="B113" s="6"/>
      <c r="C113" s="6"/>
      <c r="D113" s="6"/>
      <c r="E113" s="6"/>
      <c r="F113" s="6"/>
      <c r="G113" s="6"/>
      <c r="H113" s="6"/>
      <c r="I113" s="6"/>
      <c r="J113" s="6"/>
      <c r="K113" s="7"/>
    </row>
    <row r="114" spans="1:11">
      <c r="A114" s="8"/>
      <c r="B114" s="6"/>
      <c r="C114" s="6"/>
      <c r="D114" s="6"/>
      <c r="E114" s="6"/>
      <c r="F114" s="6"/>
      <c r="G114" s="6"/>
      <c r="H114" s="6"/>
      <c r="I114" s="6"/>
      <c r="J114" s="6"/>
      <c r="K114" s="7"/>
    </row>
    <row r="115" spans="1:11">
      <c r="A115" s="8"/>
      <c r="B115" s="6"/>
      <c r="C115" s="6"/>
      <c r="D115" s="6"/>
      <c r="E115" s="6"/>
      <c r="F115" s="6"/>
      <c r="G115" s="6"/>
      <c r="H115" s="6"/>
      <c r="I115" s="6"/>
      <c r="J115" s="6"/>
      <c r="K115" s="7"/>
    </row>
    <row r="116" spans="1:11">
      <c r="A116" s="8"/>
      <c r="B116" s="6"/>
      <c r="C116" s="6"/>
      <c r="D116" s="6"/>
      <c r="E116" s="6"/>
      <c r="F116" s="6"/>
      <c r="G116" s="6"/>
      <c r="H116" s="6"/>
      <c r="I116" s="6"/>
      <c r="J116" s="6"/>
      <c r="K116" s="7"/>
    </row>
    <row r="117" spans="1:11">
      <c r="A117" s="8"/>
      <c r="B117" s="6"/>
      <c r="C117" s="6"/>
      <c r="D117" s="6"/>
      <c r="E117" s="6"/>
      <c r="F117" s="6"/>
      <c r="G117" s="6"/>
      <c r="H117" s="6"/>
      <c r="I117" s="6"/>
      <c r="J117" s="6"/>
      <c r="K117" s="7"/>
    </row>
    <row r="118" spans="1:11">
      <c r="A118" s="8"/>
      <c r="B118" s="6"/>
      <c r="C118" s="6"/>
      <c r="D118" s="6"/>
      <c r="E118" s="6"/>
      <c r="F118" s="6"/>
      <c r="G118" s="6"/>
      <c r="H118" s="6"/>
      <c r="I118" s="6"/>
      <c r="J118" s="6"/>
      <c r="K118" s="7"/>
    </row>
    <row r="119" spans="1:11">
      <c r="A119" s="8"/>
      <c r="B119" s="6"/>
      <c r="C119" s="6"/>
      <c r="D119" s="6"/>
      <c r="E119" s="6"/>
      <c r="F119" s="6"/>
      <c r="G119" s="6"/>
      <c r="H119" s="6"/>
      <c r="I119" s="6"/>
      <c r="J119" s="6"/>
      <c r="K119" s="7"/>
    </row>
    <row r="120" spans="1:11">
      <c r="A120" s="8"/>
      <c r="B120" s="6"/>
      <c r="C120" s="6"/>
      <c r="D120" s="6"/>
      <c r="E120" s="6"/>
      <c r="F120" s="6"/>
      <c r="G120" s="6"/>
      <c r="H120" s="6"/>
      <c r="I120" s="6"/>
      <c r="J120" s="6"/>
      <c r="K120" s="7"/>
    </row>
    <row r="121" spans="1:11">
      <c r="A121" s="8"/>
      <c r="B121" s="6"/>
      <c r="C121" s="6"/>
      <c r="D121" s="6"/>
      <c r="E121" s="6"/>
      <c r="F121" s="6"/>
      <c r="G121" s="6"/>
      <c r="H121" s="6"/>
      <c r="I121" s="6"/>
      <c r="J121" s="6"/>
      <c r="K121" s="7"/>
    </row>
    <row r="122" spans="1:11">
      <c r="A122" s="8"/>
      <c r="B122" s="6"/>
      <c r="C122" s="6"/>
      <c r="D122" s="6"/>
      <c r="E122" s="6"/>
      <c r="F122" s="6"/>
      <c r="G122" s="6"/>
      <c r="H122" s="6"/>
      <c r="I122" s="6"/>
      <c r="J122" s="6"/>
      <c r="K122" s="7"/>
    </row>
    <row r="123" spans="1:11">
      <c r="A123" s="8"/>
      <c r="B123" s="6"/>
      <c r="C123" s="6"/>
      <c r="D123" s="6"/>
      <c r="E123" s="6"/>
      <c r="F123" s="6"/>
      <c r="G123" s="6"/>
      <c r="H123" s="6"/>
      <c r="I123" s="6"/>
      <c r="J123" s="6"/>
      <c r="K123" s="7"/>
    </row>
    <row r="124" spans="1:11">
      <c r="A124" s="8"/>
      <c r="B124" s="6"/>
      <c r="C124" s="6"/>
      <c r="D124" s="6"/>
      <c r="E124" s="6"/>
      <c r="F124" s="6"/>
      <c r="G124" s="6"/>
      <c r="H124" s="6"/>
      <c r="I124" s="6"/>
      <c r="J124" s="6"/>
      <c r="K124" s="7"/>
    </row>
    <row r="125" spans="1:11">
      <c r="A125" s="8"/>
      <c r="B125" s="6"/>
      <c r="C125" s="6"/>
      <c r="D125" s="6"/>
      <c r="E125" s="6"/>
      <c r="F125" s="6"/>
      <c r="G125" s="6"/>
      <c r="H125" s="6"/>
      <c r="I125" s="6"/>
      <c r="J125" s="6"/>
      <c r="K125" s="7"/>
    </row>
    <row r="126" spans="1:11">
      <c r="A126" s="8"/>
      <c r="B126" s="6"/>
      <c r="C126" s="6"/>
      <c r="D126" s="6"/>
      <c r="E126" s="6"/>
      <c r="F126" s="6"/>
      <c r="G126" s="6"/>
      <c r="H126" s="6"/>
      <c r="I126" s="6"/>
      <c r="J126" s="6"/>
      <c r="K126" s="7"/>
    </row>
    <row r="127" spans="1:11">
      <c r="A127" s="8"/>
      <c r="B127" s="6"/>
      <c r="C127" s="6"/>
      <c r="D127" s="6"/>
      <c r="E127" s="6"/>
      <c r="F127" s="6"/>
      <c r="G127" s="6"/>
      <c r="H127" s="6"/>
      <c r="I127" s="6"/>
      <c r="J127" s="6"/>
      <c r="K127" s="7"/>
    </row>
    <row r="128" spans="1:11">
      <c r="A128" s="8"/>
      <c r="B128" s="6"/>
      <c r="C128" s="6"/>
      <c r="D128" s="6"/>
      <c r="E128" s="6"/>
      <c r="F128" s="6"/>
      <c r="G128" s="6"/>
      <c r="H128" s="6"/>
      <c r="I128" s="6"/>
      <c r="J128" s="6"/>
      <c r="K128" s="7"/>
    </row>
    <row r="129" spans="1:11">
      <c r="A129" s="8"/>
      <c r="B129" s="6"/>
      <c r="C129" s="6"/>
      <c r="D129" s="6"/>
      <c r="E129" s="6"/>
      <c r="F129" s="6"/>
      <c r="G129" s="6"/>
      <c r="H129" s="6"/>
      <c r="I129" s="6"/>
      <c r="J129" s="6"/>
      <c r="K129" s="7"/>
    </row>
    <row r="130" spans="1:11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1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5"/>
    </row>
    <row r="132" spans="1:11">
      <c r="A132" s="142" t="s">
        <v>100</v>
      </c>
      <c r="B132" s="143"/>
      <c r="C132" s="143"/>
      <c r="D132" s="143"/>
      <c r="E132" s="143"/>
      <c r="F132" s="143"/>
      <c r="G132" s="143"/>
      <c r="H132" s="6"/>
      <c r="I132" s="6" t="s">
        <v>102</v>
      </c>
      <c r="J132" s="6"/>
      <c r="K132" s="7"/>
    </row>
    <row r="133" spans="1:11">
      <c r="A133" s="8"/>
      <c r="B133" s="6"/>
      <c r="C133" s="6"/>
      <c r="D133" s="6"/>
      <c r="E133" s="6"/>
      <c r="F133" s="6"/>
      <c r="G133" s="6"/>
      <c r="H133" s="6"/>
      <c r="I133" s="29" t="s">
        <v>101</v>
      </c>
      <c r="J133" s="6"/>
      <c r="K133" s="7"/>
    </row>
    <row r="134" spans="1:11">
      <c r="A134" s="8"/>
      <c r="B134" s="6"/>
      <c r="C134" s="6"/>
      <c r="D134" s="6"/>
      <c r="E134" s="6"/>
      <c r="F134" s="6"/>
      <c r="G134" s="6"/>
      <c r="H134" s="6"/>
      <c r="I134" s="6"/>
      <c r="J134" s="6"/>
      <c r="K134" s="7"/>
    </row>
    <row r="135" spans="1:11">
      <c r="A135" s="8"/>
      <c r="B135" s="145" t="s">
        <v>129</v>
      </c>
      <c r="C135" s="146"/>
      <c r="D135" s="149" t="s">
        <v>127</v>
      </c>
      <c r="E135" s="137"/>
      <c r="F135" s="137"/>
      <c r="G135" s="138"/>
      <c r="H135" s="137" t="s">
        <v>128</v>
      </c>
      <c r="I135" s="137"/>
      <c r="J135" s="137"/>
      <c r="K135" s="138"/>
    </row>
    <row r="136" spans="1:11" ht="16.2">
      <c r="A136" s="8"/>
      <c r="B136" s="147"/>
      <c r="C136" s="148"/>
      <c r="D136" s="139" t="s">
        <v>20</v>
      </c>
      <c r="E136" s="139"/>
      <c r="F136" s="139" t="s">
        <v>21</v>
      </c>
      <c r="G136" s="139"/>
      <c r="H136" s="139" t="s">
        <v>20</v>
      </c>
      <c r="I136" s="139"/>
      <c r="J136" s="139" t="s">
        <v>21</v>
      </c>
      <c r="K136" s="139"/>
    </row>
    <row r="137" spans="1:11">
      <c r="A137" s="8"/>
      <c r="B137" s="133" t="s">
        <v>22</v>
      </c>
      <c r="C137" s="133"/>
      <c r="D137" s="128">
        <v>110</v>
      </c>
      <c r="E137" s="128"/>
      <c r="F137" s="128">
        <v>130</v>
      </c>
      <c r="G137" s="128"/>
      <c r="H137" s="131">
        <f>G153*100</f>
        <v>35.576080545962434</v>
      </c>
      <c r="I137" s="131"/>
      <c r="J137" s="131">
        <f>G155*100</f>
        <v>45.707145586946652</v>
      </c>
      <c r="K137" s="131"/>
    </row>
    <row r="138" spans="1:11">
      <c r="A138" s="8"/>
      <c r="B138" s="134" t="s">
        <v>23</v>
      </c>
      <c r="C138" s="134"/>
      <c r="D138" s="129">
        <v>140</v>
      </c>
      <c r="E138" s="129"/>
      <c r="F138" s="129">
        <v>170</v>
      </c>
      <c r="G138" s="129"/>
      <c r="H138" s="132">
        <f>G159*100</f>
        <v>51.081204037225532</v>
      </c>
      <c r="I138" s="132"/>
      <c r="J138" s="132">
        <f>G161*100</f>
        <v>68.350619320515733</v>
      </c>
      <c r="K138" s="132"/>
    </row>
    <row r="139" spans="1:11">
      <c r="A139" s="8"/>
      <c r="B139" s="135" t="s">
        <v>24</v>
      </c>
      <c r="C139" s="135"/>
      <c r="D139" s="130">
        <f>G198*100</f>
        <v>116.94913753698899</v>
      </c>
      <c r="E139" s="130"/>
      <c r="F139" s="130">
        <f>G200*100</f>
        <v>141.67379075494725</v>
      </c>
      <c r="G139" s="130"/>
      <c r="H139" s="130">
        <f>G189*100</f>
        <v>38.775000000000006</v>
      </c>
      <c r="I139" s="130"/>
      <c r="J139" s="130">
        <f>G191*100</f>
        <v>51.7</v>
      </c>
      <c r="K139" s="130"/>
    </row>
    <row r="140" spans="1:11">
      <c r="A140" s="8"/>
      <c r="B140" s="6"/>
      <c r="C140" s="6"/>
      <c r="D140" s="6"/>
      <c r="E140" s="6"/>
      <c r="F140" s="6"/>
      <c r="G140" s="6"/>
      <c r="H140" s="6"/>
      <c r="I140" s="6"/>
      <c r="J140" s="6"/>
      <c r="K140" s="7"/>
    </row>
    <row r="141" spans="1:11">
      <c r="A141" s="8"/>
      <c r="B141" s="6"/>
      <c r="C141" s="6"/>
      <c r="D141" s="6"/>
      <c r="E141" s="6"/>
      <c r="F141" s="6"/>
      <c r="G141" s="6"/>
      <c r="H141" s="6"/>
      <c r="I141" s="6"/>
      <c r="J141" s="6"/>
      <c r="K141" s="7"/>
    </row>
    <row r="142" spans="1:11">
      <c r="A142" s="8"/>
      <c r="B142" s="144" t="s">
        <v>25</v>
      </c>
      <c r="C142" s="144"/>
      <c r="D142" s="6" t="s">
        <v>103</v>
      </c>
      <c r="E142" s="6"/>
      <c r="F142" s="6"/>
      <c r="G142" s="6"/>
      <c r="H142" s="6"/>
      <c r="I142" s="6"/>
      <c r="J142" s="6"/>
      <c r="K142" s="7"/>
    </row>
    <row r="143" spans="1:11">
      <c r="A143" s="8"/>
      <c r="B143" s="6"/>
      <c r="C143" s="6"/>
      <c r="D143" s="6"/>
      <c r="E143" s="6"/>
      <c r="F143" s="6"/>
      <c r="G143" s="6"/>
      <c r="H143" s="6"/>
      <c r="I143" s="6"/>
      <c r="J143" s="6"/>
      <c r="K143" s="7"/>
    </row>
    <row r="144" spans="1:11">
      <c r="A144" s="8"/>
      <c r="B144" s="6"/>
      <c r="C144" s="6"/>
      <c r="D144" s="6"/>
      <c r="E144" s="6"/>
      <c r="F144" s="6"/>
      <c r="G144" s="6"/>
      <c r="H144" s="6"/>
      <c r="I144" s="6"/>
      <c r="J144" s="6"/>
      <c r="K144" s="7"/>
    </row>
    <row r="145" spans="1:11">
      <c r="A145" s="8"/>
      <c r="B145" s="6"/>
      <c r="C145" s="6"/>
      <c r="D145" s="6"/>
      <c r="E145" s="6"/>
      <c r="F145" s="6"/>
      <c r="G145" s="6"/>
      <c r="H145" s="6"/>
      <c r="I145" s="6"/>
      <c r="J145" s="6"/>
      <c r="K145" s="7"/>
    </row>
    <row r="146" spans="1:11">
      <c r="A146" s="8"/>
      <c r="B146" s="6"/>
      <c r="C146" s="6"/>
      <c r="D146" s="6"/>
      <c r="E146" s="6"/>
      <c r="F146" s="6"/>
      <c r="G146" s="6"/>
      <c r="H146" s="6"/>
      <c r="I146" s="6"/>
      <c r="J146" s="6"/>
      <c r="K146" s="7"/>
    </row>
    <row r="147" spans="1:11">
      <c r="A147" s="8"/>
      <c r="B147" s="6"/>
      <c r="C147" s="6"/>
      <c r="D147" s="6"/>
      <c r="E147" s="6"/>
      <c r="F147" s="6"/>
      <c r="G147" s="6"/>
      <c r="H147" s="6"/>
      <c r="I147" s="6"/>
      <c r="J147" s="6"/>
      <c r="K147" s="7"/>
    </row>
    <row r="148" spans="1:11">
      <c r="A148" s="8"/>
      <c r="B148" s="6"/>
      <c r="C148" s="6"/>
      <c r="D148" s="6"/>
      <c r="E148" s="6"/>
      <c r="F148" s="6"/>
      <c r="G148" s="6"/>
      <c r="H148" s="6"/>
      <c r="I148" s="6"/>
      <c r="J148" s="6"/>
      <c r="K148" s="7"/>
    </row>
    <row r="149" spans="1:11">
      <c r="A149" s="8"/>
      <c r="B149" s="6"/>
      <c r="C149" s="6"/>
      <c r="D149" s="6"/>
      <c r="E149" s="6"/>
      <c r="F149" s="6"/>
      <c r="G149" s="6"/>
      <c r="H149" s="6"/>
      <c r="I149" s="6"/>
      <c r="J149" s="6"/>
      <c r="K149" s="7"/>
    </row>
    <row r="150" spans="1:11">
      <c r="A150" s="8"/>
      <c r="B150" s="6"/>
      <c r="C150" s="6"/>
      <c r="D150" s="6"/>
      <c r="E150" s="6"/>
      <c r="F150" s="6"/>
      <c r="G150" s="6"/>
      <c r="H150" s="6"/>
      <c r="I150" s="6"/>
      <c r="J150" s="6"/>
      <c r="K150" s="7"/>
    </row>
    <row r="151" spans="1:11">
      <c r="A151" s="8"/>
      <c r="B151" s="6"/>
      <c r="C151" s="6"/>
      <c r="D151" s="31" t="s">
        <v>26</v>
      </c>
      <c r="E151" s="6"/>
      <c r="F151" s="6"/>
      <c r="G151" s="6"/>
      <c r="H151" s="6"/>
      <c r="I151" s="6"/>
      <c r="J151" s="6"/>
      <c r="K151" s="7"/>
    </row>
    <row r="152" spans="1:11">
      <c r="A152" s="8"/>
      <c r="B152" s="6"/>
      <c r="C152" s="6"/>
      <c r="D152" s="6"/>
      <c r="E152" s="6"/>
      <c r="F152" s="6"/>
      <c r="G152" s="6"/>
      <c r="H152" s="6"/>
      <c r="I152" s="6"/>
      <c r="J152" s="6"/>
      <c r="K152" s="7"/>
    </row>
    <row r="153" spans="1:11" ht="16.2">
      <c r="A153" s="8"/>
      <c r="B153" s="6"/>
      <c r="C153" s="6"/>
      <c r="D153" s="6"/>
      <c r="E153" s="13" t="s">
        <v>27</v>
      </c>
      <c r="F153" s="14" t="s">
        <v>0</v>
      </c>
      <c r="G153" s="21">
        <f>(($D$137/100)/($H$31*SQRT($J$41/1000)))^(3/2)</f>
        <v>0.35576080545962435</v>
      </c>
      <c r="H153" s="6" t="s">
        <v>1</v>
      </c>
      <c r="I153" s="6"/>
      <c r="J153" s="6"/>
      <c r="K153" s="7"/>
    </row>
    <row r="154" spans="1:11">
      <c r="A154" s="8"/>
      <c r="B154" s="6"/>
      <c r="C154" s="6"/>
      <c r="D154" s="6"/>
      <c r="E154" s="6"/>
      <c r="F154" s="6"/>
      <c r="G154" s="6"/>
      <c r="H154" s="6"/>
      <c r="I154" s="6"/>
      <c r="J154" s="6"/>
      <c r="K154" s="7"/>
    </row>
    <row r="155" spans="1:11" ht="16.2">
      <c r="A155" s="8"/>
      <c r="B155" s="6"/>
      <c r="C155" s="6"/>
      <c r="D155" s="6"/>
      <c r="E155" s="13" t="s">
        <v>28</v>
      </c>
      <c r="F155" s="14" t="s">
        <v>0</v>
      </c>
      <c r="G155" s="21">
        <f>(($F$137/100)/($H$31*SQRT($J$41/1000)))^(3/2)</f>
        <v>0.45707145586946651</v>
      </c>
      <c r="H155" s="6" t="s">
        <v>1</v>
      </c>
      <c r="I155" s="6"/>
      <c r="J155" s="6"/>
      <c r="K155" s="7"/>
    </row>
    <row r="156" spans="1:11">
      <c r="A156" s="8"/>
      <c r="B156" s="6"/>
      <c r="C156" s="6"/>
      <c r="D156" s="6"/>
      <c r="E156" s="6"/>
      <c r="F156" s="6"/>
      <c r="G156" s="6"/>
      <c r="H156" s="6"/>
      <c r="I156" s="6"/>
      <c r="J156" s="6"/>
      <c r="K156" s="7"/>
    </row>
    <row r="157" spans="1:11">
      <c r="A157" s="8"/>
      <c r="B157" s="6"/>
      <c r="C157" s="6"/>
      <c r="D157" s="31" t="s">
        <v>29</v>
      </c>
      <c r="E157" s="6"/>
      <c r="F157" s="6"/>
      <c r="G157" s="6"/>
      <c r="H157" s="6"/>
      <c r="I157" s="6"/>
      <c r="J157" s="6"/>
      <c r="K157" s="7"/>
    </row>
    <row r="158" spans="1:11">
      <c r="A158" s="8"/>
      <c r="B158" s="6"/>
      <c r="C158" s="6"/>
      <c r="D158" s="6"/>
      <c r="E158" s="6"/>
      <c r="F158" s="6"/>
      <c r="G158" s="6"/>
      <c r="H158" s="6"/>
      <c r="I158" s="6"/>
      <c r="J158" s="6"/>
      <c r="K158" s="7"/>
    </row>
    <row r="159" spans="1:11" ht="16.2">
      <c r="A159" s="8"/>
      <c r="B159" s="6"/>
      <c r="C159" s="6"/>
      <c r="D159" s="6"/>
      <c r="E159" s="13" t="s">
        <v>27</v>
      </c>
      <c r="F159" s="14" t="s">
        <v>0</v>
      </c>
      <c r="G159" s="21">
        <f>(($D$138/100)/($H$31*SQRT($J$41/1000)))^(3/2)</f>
        <v>0.51081204037225536</v>
      </c>
      <c r="H159" s="6" t="s">
        <v>1</v>
      </c>
      <c r="I159" s="6"/>
      <c r="J159" s="6"/>
      <c r="K159" s="7"/>
    </row>
    <row r="160" spans="1:11">
      <c r="A160" s="8"/>
      <c r="B160" s="6"/>
      <c r="C160" s="6"/>
      <c r="D160" s="6"/>
      <c r="E160" s="6"/>
      <c r="F160" s="6"/>
      <c r="G160" s="6"/>
      <c r="H160" s="6"/>
      <c r="I160" s="6"/>
      <c r="J160" s="6"/>
      <c r="K160" s="7"/>
    </row>
    <row r="161" spans="1:11" ht="16.2">
      <c r="A161" s="8"/>
      <c r="B161" s="6"/>
      <c r="C161" s="6"/>
      <c r="D161" s="6"/>
      <c r="E161" s="13" t="s">
        <v>28</v>
      </c>
      <c r="F161" s="14" t="s">
        <v>0</v>
      </c>
      <c r="G161" s="21">
        <f>(($F$138/100)/($H$31*SQRT($J$41/1000)))^(3/2)</f>
        <v>0.68350619320515726</v>
      </c>
      <c r="H161" s="6" t="s">
        <v>1</v>
      </c>
      <c r="I161" s="6"/>
      <c r="J161" s="6"/>
      <c r="K161" s="7"/>
    </row>
    <row r="162" spans="1:11">
      <c r="A162" s="8"/>
      <c r="B162" s="6"/>
      <c r="C162" s="6"/>
      <c r="D162" s="6"/>
      <c r="E162" s="6"/>
      <c r="F162" s="6"/>
      <c r="G162" s="6"/>
      <c r="H162" s="6"/>
      <c r="I162" s="6"/>
      <c r="J162" s="6"/>
      <c r="K162" s="7"/>
    </row>
    <row r="163" spans="1:11">
      <c r="A163" s="8"/>
      <c r="B163" s="6"/>
      <c r="C163" s="6"/>
      <c r="D163" s="6"/>
      <c r="E163" s="6"/>
      <c r="F163" s="6"/>
      <c r="G163" s="6"/>
      <c r="H163" s="6"/>
      <c r="I163" s="6"/>
      <c r="J163" s="6"/>
      <c r="K163" s="7"/>
    </row>
    <row r="164" spans="1:11">
      <c r="A164" s="8"/>
      <c r="B164" s="144" t="s">
        <v>30</v>
      </c>
      <c r="C164" s="144"/>
      <c r="D164" s="6" t="s">
        <v>104</v>
      </c>
      <c r="E164" s="6"/>
      <c r="F164" s="6"/>
      <c r="G164" s="6"/>
      <c r="H164" s="6"/>
      <c r="I164" s="6"/>
      <c r="J164" s="6"/>
      <c r="K164" s="7"/>
    </row>
    <row r="165" spans="1:11">
      <c r="A165" s="8"/>
      <c r="B165" s="6"/>
      <c r="C165" s="6"/>
      <c r="D165" s="6"/>
      <c r="E165" s="6"/>
      <c r="F165" s="6"/>
      <c r="G165" s="6"/>
      <c r="H165" s="6"/>
      <c r="I165" s="6"/>
      <c r="J165" s="6"/>
      <c r="K165" s="7"/>
    </row>
    <row r="166" spans="1:11">
      <c r="A166" s="8"/>
      <c r="B166" s="6"/>
      <c r="C166" s="6"/>
      <c r="D166" s="6"/>
      <c r="E166" s="6"/>
      <c r="F166" s="6"/>
      <c r="G166" s="6"/>
      <c r="H166" s="6"/>
      <c r="I166" s="6"/>
      <c r="J166" s="6"/>
      <c r="K166" s="7"/>
    </row>
    <row r="167" spans="1:11">
      <c r="A167" s="8"/>
      <c r="B167" s="6"/>
      <c r="C167" s="6"/>
      <c r="D167" s="6"/>
      <c r="E167" s="6"/>
      <c r="F167" s="6"/>
      <c r="G167" s="6"/>
      <c r="H167" s="6"/>
      <c r="I167" s="6"/>
      <c r="J167" s="6"/>
      <c r="K167" s="7"/>
    </row>
    <row r="168" spans="1:11">
      <c r="A168" s="8"/>
      <c r="B168" s="6"/>
      <c r="C168" s="6"/>
      <c r="D168" s="6"/>
      <c r="E168" s="6"/>
      <c r="F168" s="6"/>
      <c r="G168" s="6"/>
      <c r="H168" s="6"/>
      <c r="I168" s="6"/>
      <c r="J168" s="6"/>
      <c r="K168" s="7"/>
    </row>
    <row r="169" spans="1:11">
      <c r="A169" s="8"/>
      <c r="B169" s="6"/>
      <c r="C169" s="6"/>
      <c r="D169" s="6"/>
      <c r="E169" s="6"/>
      <c r="F169" s="6"/>
      <c r="G169" s="6"/>
      <c r="H169" s="6"/>
      <c r="I169" s="6"/>
      <c r="J169" s="6"/>
      <c r="K169" s="7"/>
    </row>
    <row r="170" spans="1:11">
      <c r="A170" s="8"/>
      <c r="B170" s="6"/>
      <c r="C170" s="6"/>
      <c r="D170" s="6"/>
      <c r="E170" s="6"/>
      <c r="F170" s="6"/>
      <c r="G170" s="6"/>
      <c r="H170" s="6"/>
      <c r="I170" s="6"/>
      <c r="J170" s="6"/>
      <c r="K170" s="7"/>
    </row>
    <row r="171" spans="1:11">
      <c r="A171" s="8"/>
      <c r="B171" s="6"/>
      <c r="C171" s="6"/>
      <c r="D171" s="6"/>
      <c r="E171" s="6"/>
      <c r="F171" s="6"/>
      <c r="G171" s="6"/>
      <c r="H171" s="6"/>
      <c r="I171" s="6"/>
      <c r="J171" s="6"/>
      <c r="K171" s="7"/>
    </row>
    <row r="172" spans="1:11">
      <c r="A172" s="8"/>
      <c r="B172" s="6"/>
      <c r="C172" s="6"/>
      <c r="D172" s="6"/>
      <c r="E172" s="6"/>
      <c r="F172" s="6"/>
      <c r="G172" s="6"/>
      <c r="H172" s="6"/>
      <c r="I172" s="6"/>
      <c r="J172" s="6"/>
      <c r="K172" s="7"/>
    </row>
    <row r="173" spans="1:11">
      <c r="A173" s="8"/>
      <c r="B173" s="6"/>
      <c r="C173" s="6"/>
      <c r="D173" s="6"/>
      <c r="E173" s="6"/>
      <c r="F173" s="6"/>
      <c r="G173" s="6"/>
      <c r="H173" s="6"/>
      <c r="I173" s="6"/>
      <c r="J173" s="6"/>
      <c r="K173" s="7"/>
    </row>
    <row r="174" spans="1:11">
      <c r="A174" s="8"/>
      <c r="B174" s="6"/>
      <c r="C174" s="6"/>
      <c r="D174" s="6"/>
      <c r="E174" s="6"/>
      <c r="F174" s="6"/>
      <c r="G174" s="6"/>
      <c r="H174" s="6"/>
      <c r="I174" s="6"/>
      <c r="J174" s="6"/>
      <c r="K174" s="7"/>
    </row>
    <row r="175" spans="1:11">
      <c r="A175" s="8"/>
      <c r="B175" s="6"/>
      <c r="C175" s="6"/>
      <c r="D175" s="6"/>
      <c r="E175" s="6"/>
      <c r="F175" s="6"/>
      <c r="G175" s="6"/>
      <c r="H175" s="6"/>
      <c r="I175" s="6"/>
      <c r="J175" s="6"/>
      <c r="K175" s="7"/>
    </row>
    <row r="176" spans="1:11">
      <c r="A176" s="8"/>
      <c r="B176" s="6"/>
      <c r="C176" s="6"/>
      <c r="D176" s="6"/>
      <c r="E176" s="6"/>
      <c r="F176" s="6"/>
      <c r="G176" s="6"/>
      <c r="H176" s="6"/>
      <c r="I176" s="6"/>
      <c r="J176" s="6"/>
      <c r="K176" s="7"/>
    </row>
    <row r="177" spans="1:12">
      <c r="A177" s="8"/>
      <c r="B177" s="6"/>
      <c r="C177" s="6"/>
      <c r="D177" s="6"/>
      <c r="E177" s="6"/>
      <c r="F177" s="6"/>
      <c r="G177" s="6"/>
      <c r="H177" s="6"/>
      <c r="I177" s="6"/>
      <c r="J177" s="6"/>
      <c r="K177" s="7"/>
    </row>
    <row r="178" spans="1:12">
      <c r="A178" s="8"/>
      <c r="B178" s="6"/>
      <c r="C178" s="6"/>
      <c r="D178" s="6"/>
      <c r="E178" s="6"/>
      <c r="F178" s="6"/>
      <c r="G178" s="6"/>
      <c r="H178" s="6"/>
      <c r="I178" s="6"/>
      <c r="J178" s="6"/>
      <c r="K178" s="7"/>
    </row>
    <row r="179" spans="1:12">
      <c r="A179" s="8"/>
      <c r="B179" s="6"/>
      <c r="C179" s="6"/>
      <c r="D179" s="6"/>
      <c r="E179" s="6"/>
      <c r="F179" s="6"/>
      <c r="G179" s="6"/>
      <c r="H179" s="6"/>
      <c r="I179" s="6"/>
      <c r="J179" s="6"/>
      <c r="K179" s="7"/>
    </row>
    <row r="180" spans="1:12">
      <c r="A180" s="8"/>
      <c r="B180" s="6"/>
      <c r="C180" s="6"/>
      <c r="D180" s="6"/>
      <c r="E180" s="6"/>
      <c r="F180" s="6"/>
      <c r="G180" s="6"/>
      <c r="H180" s="6"/>
      <c r="I180" s="6"/>
      <c r="J180" s="6"/>
      <c r="K180" s="7"/>
    </row>
    <row r="181" spans="1:12">
      <c r="A181" s="8"/>
      <c r="B181" s="6"/>
      <c r="C181" s="6"/>
      <c r="D181" s="6" t="s">
        <v>31</v>
      </c>
      <c r="E181" s="6"/>
      <c r="F181" s="6"/>
      <c r="G181" s="6"/>
      <c r="H181" s="6"/>
      <c r="I181" s="6"/>
      <c r="J181" s="6"/>
      <c r="K181" s="7"/>
    </row>
    <row r="182" spans="1:12">
      <c r="A182" s="8"/>
      <c r="B182" s="6"/>
      <c r="C182" s="6"/>
      <c r="D182" s="6"/>
      <c r="E182" s="6"/>
      <c r="F182" s="6"/>
      <c r="G182" s="6"/>
      <c r="H182" s="6"/>
      <c r="I182" s="6"/>
      <c r="J182" s="6"/>
      <c r="K182" s="7"/>
    </row>
    <row r="183" spans="1:12">
      <c r="A183" s="8"/>
      <c r="B183" s="6"/>
      <c r="C183" s="6"/>
      <c r="D183" s="6"/>
      <c r="E183" s="6"/>
      <c r="F183" s="6"/>
      <c r="G183" s="6"/>
      <c r="H183" s="6"/>
      <c r="I183" s="6"/>
      <c r="J183" s="6"/>
      <c r="K183" s="7"/>
    </row>
    <row r="184" spans="1:12">
      <c r="A184" s="8"/>
      <c r="B184" s="6"/>
      <c r="C184" s="6"/>
      <c r="D184" s="6"/>
      <c r="E184" s="6"/>
      <c r="F184" s="6"/>
      <c r="G184" s="6"/>
      <c r="H184" s="6"/>
      <c r="I184" s="6"/>
      <c r="J184" s="6"/>
      <c r="K184" s="7"/>
    </row>
    <row r="185" spans="1:12">
      <c r="A185" s="8"/>
      <c r="B185" s="6"/>
      <c r="C185" s="6"/>
      <c r="D185" s="6"/>
      <c r="E185" s="6"/>
      <c r="F185" s="6"/>
      <c r="G185" s="6"/>
      <c r="H185" s="6"/>
      <c r="I185" s="6"/>
      <c r="J185" s="6"/>
      <c r="K185" s="7"/>
    </row>
    <row r="186" spans="1:12">
      <c r="A186" s="8"/>
      <c r="B186" s="6"/>
      <c r="C186" s="6"/>
      <c r="D186" s="6"/>
      <c r="E186" s="6"/>
      <c r="F186" s="6"/>
      <c r="G186" s="6"/>
      <c r="H186" s="6"/>
      <c r="I186" s="6"/>
      <c r="J186" s="6"/>
      <c r="K186" s="7"/>
    </row>
    <row r="187" spans="1:12">
      <c r="A187" s="8"/>
      <c r="B187" s="6"/>
      <c r="C187" s="6"/>
      <c r="D187" s="6"/>
      <c r="E187" s="6"/>
      <c r="F187" s="6"/>
      <c r="G187" s="6"/>
      <c r="H187" s="6"/>
      <c r="I187" s="6"/>
      <c r="J187" s="6"/>
      <c r="K187" s="7"/>
    </row>
    <row r="188" spans="1:12">
      <c r="A188" s="8"/>
      <c r="B188" s="6"/>
      <c r="C188" s="6"/>
      <c r="D188" s="6"/>
      <c r="E188" s="6"/>
      <c r="F188" s="6"/>
      <c r="G188" s="6"/>
      <c r="H188" s="6"/>
      <c r="I188" s="6"/>
      <c r="J188" s="6"/>
      <c r="K188" s="7"/>
    </row>
    <row r="189" spans="1:12" ht="16.2">
      <c r="A189" s="8"/>
      <c r="B189" s="6"/>
      <c r="C189" s="6"/>
      <c r="D189" s="6"/>
      <c r="E189" s="13" t="s">
        <v>27</v>
      </c>
      <c r="F189" s="14" t="s">
        <v>0</v>
      </c>
      <c r="G189" s="21">
        <f>25.85*H89/100</f>
        <v>0.38775000000000004</v>
      </c>
      <c r="H189" s="6" t="s">
        <v>1</v>
      </c>
      <c r="I189" s="32">
        <f>ROUND(G189,2)</f>
        <v>0.39</v>
      </c>
      <c r="J189" s="124"/>
      <c r="K189" s="7"/>
      <c r="L189" s="82">
        <v>0.39</v>
      </c>
    </row>
    <row r="190" spans="1:12">
      <c r="A190" s="8"/>
      <c r="B190" s="6"/>
      <c r="C190" s="6"/>
      <c r="D190" s="6"/>
      <c r="E190" s="6"/>
      <c r="F190" s="6"/>
      <c r="G190" s="6"/>
      <c r="H190" s="6"/>
      <c r="I190" s="33"/>
      <c r="J190" s="124"/>
      <c r="K190" s="7"/>
      <c r="L190" s="33"/>
    </row>
    <row r="191" spans="1:12" ht="16.2">
      <c r="A191" s="8"/>
      <c r="B191" s="6"/>
      <c r="C191" s="6"/>
      <c r="D191" s="6"/>
      <c r="E191" s="13" t="s">
        <v>28</v>
      </c>
      <c r="F191" s="14" t="s">
        <v>0</v>
      </c>
      <c r="G191" s="21">
        <f>25.85*H91/100</f>
        <v>0.51700000000000002</v>
      </c>
      <c r="H191" s="6" t="s">
        <v>1</v>
      </c>
      <c r="I191" s="32">
        <f>ROUND(G191,2)</f>
        <v>0.52</v>
      </c>
      <c r="K191" s="7"/>
      <c r="L191" s="82">
        <v>0.52</v>
      </c>
    </row>
    <row r="192" spans="1:12">
      <c r="A192" s="8"/>
      <c r="B192" s="6"/>
      <c r="C192" s="6"/>
      <c r="D192" s="6"/>
      <c r="E192" s="6"/>
      <c r="F192" s="6"/>
      <c r="G192" s="6"/>
      <c r="H192" s="6"/>
      <c r="I192" s="6"/>
      <c r="J192" s="6"/>
      <c r="K192" s="7"/>
    </row>
    <row r="193" spans="1:11">
      <c r="A193" s="8"/>
      <c r="B193" s="6"/>
      <c r="C193" s="6"/>
      <c r="D193" s="6"/>
      <c r="E193" s="6"/>
      <c r="F193" s="6"/>
      <c r="G193" s="6"/>
      <c r="H193" s="6"/>
      <c r="I193" s="6"/>
      <c r="J193" s="6"/>
      <c r="K193" s="7"/>
    </row>
    <row r="194" spans="1:11">
      <c r="A194" s="8"/>
      <c r="B194" s="6"/>
      <c r="C194" s="6"/>
      <c r="D194" s="6"/>
      <c r="E194" s="6"/>
      <c r="F194" s="6"/>
      <c r="G194" s="6"/>
      <c r="H194" s="6"/>
      <c r="I194" s="6"/>
      <c r="J194" s="6"/>
      <c r="K194" s="7"/>
    </row>
    <row r="195" spans="1:11">
      <c r="A195" s="8"/>
      <c r="B195" s="6"/>
      <c r="C195" s="6"/>
      <c r="D195" s="6"/>
      <c r="E195" s="6"/>
      <c r="F195" s="6"/>
      <c r="G195" s="6"/>
      <c r="H195" s="6"/>
      <c r="I195" s="6"/>
      <c r="J195" s="6"/>
      <c r="K195" s="7"/>
    </row>
    <row r="196" spans="1:11">
      <c r="A196" s="8"/>
      <c r="B196" s="6"/>
      <c r="C196" s="6"/>
      <c r="D196" s="6"/>
      <c r="E196" s="6"/>
      <c r="F196" s="6"/>
      <c r="G196" s="6"/>
      <c r="H196" s="6"/>
      <c r="I196" s="6"/>
      <c r="J196" s="6"/>
      <c r="K196" s="7"/>
    </row>
    <row r="197" spans="1:11">
      <c r="A197" s="8"/>
      <c r="B197" s="6"/>
      <c r="C197" s="6"/>
      <c r="D197" s="6"/>
      <c r="E197" s="6"/>
      <c r="F197" s="6"/>
      <c r="G197" s="6"/>
      <c r="H197" s="6"/>
      <c r="I197" s="6"/>
      <c r="J197" s="6"/>
      <c r="K197" s="7"/>
    </row>
    <row r="198" spans="1:11" ht="16.2">
      <c r="A198" s="8"/>
      <c r="B198" s="6"/>
      <c r="C198" s="6"/>
      <c r="D198" s="6"/>
      <c r="E198" s="13" t="s">
        <v>32</v>
      </c>
      <c r="F198" s="14" t="s">
        <v>0</v>
      </c>
      <c r="G198" s="21">
        <f>$H$31*(L189^(2/3))*SQRT($J$41/1000)</f>
        <v>1.1694913753698899</v>
      </c>
      <c r="H198" s="6" t="s">
        <v>1</v>
      </c>
      <c r="I198" s="40">
        <f>ROUND(G198,2)</f>
        <v>1.17</v>
      </c>
      <c r="J198" s="6"/>
      <c r="K198" s="7"/>
    </row>
    <row r="199" spans="1:11">
      <c r="A199" s="8"/>
      <c r="B199" s="6"/>
      <c r="C199" s="6"/>
      <c r="D199" s="6"/>
      <c r="E199" s="6"/>
      <c r="F199" s="6"/>
      <c r="G199" s="6"/>
      <c r="H199" s="6"/>
      <c r="I199" s="6"/>
      <c r="J199" s="6"/>
      <c r="K199" s="7"/>
    </row>
    <row r="200" spans="1:11" ht="16.2">
      <c r="A200" s="8"/>
      <c r="B200" s="6"/>
      <c r="C200" s="6"/>
      <c r="D200" s="6"/>
      <c r="E200" s="13" t="s">
        <v>33</v>
      </c>
      <c r="F200" s="14" t="s">
        <v>0</v>
      </c>
      <c r="G200" s="21">
        <f>$H$31*(L191^(2/3))*SQRT($J$41/1000)</f>
        <v>1.4167379075494726</v>
      </c>
      <c r="H200" s="6" t="s">
        <v>1</v>
      </c>
      <c r="I200" s="40">
        <f>ROUND(G200,2)</f>
        <v>1.42</v>
      </c>
      <c r="J200" s="6"/>
      <c r="K200" s="7"/>
    </row>
    <row r="201" spans="1:11" s="1" customFormat="1">
      <c r="A201" s="8"/>
      <c r="B201" s="6"/>
      <c r="C201" s="6"/>
      <c r="D201" s="6"/>
      <c r="E201" s="13"/>
      <c r="F201" s="14"/>
      <c r="G201" s="123"/>
      <c r="H201" s="6"/>
      <c r="I201" s="40"/>
      <c r="J201" s="6"/>
      <c r="K201" s="7"/>
    </row>
    <row r="202" spans="1:11" s="1" customFormat="1">
      <c r="A202" s="8"/>
      <c r="B202" s="6"/>
      <c r="C202" s="6"/>
      <c r="D202" s="6"/>
      <c r="E202" s="13"/>
      <c r="F202" s="14"/>
      <c r="G202" s="123"/>
      <c r="H202" s="6"/>
      <c r="I202" s="40"/>
      <c r="J202" s="6"/>
      <c r="K202" s="7"/>
    </row>
    <row r="203" spans="1:11" s="1" customFormat="1">
      <c r="A203" s="8"/>
      <c r="B203" s="6"/>
      <c r="C203" s="6"/>
      <c r="D203" s="6"/>
      <c r="E203" s="13"/>
      <c r="F203" s="14"/>
      <c r="G203" s="123"/>
      <c r="H203" s="6"/>
      <c r="I203" s="40"/>
      <c r="J203" s="6"/>
      <c r="K203" s="7"/>
    </row>
    <row r="204" spans="1:11" s="1" customFormat="1">
      <c r="A204" s="8"/>
      <c r="B204" s="6"/>
      <c r="C204" s="6"/>
      <c r="D204" s="6"/>
      <c r="E204" s="13"/>
      <c r="F204" s="14"/>
      <c r="G204" s="123"/>
      <c r="H204" s="6"/>
      <c r="I204" s="40"/>
      <c r="J204" s="6"/>
      <c r="K204" s="7"/>
    </row>
    <row r="205" spans="1:11" s="1" customFormat="1">
      <c r="A205" s="8"/>
      <c r="B205" s="6"/>
      <c r="C205" s="6"/>
      <c r="D205" s="6"/>
      <c r="E205" s="13"/>
      <c r="F205" s="14"/>
      <c r="G205" s="123"/>
      <c r="H205" s="6"/>
      <c r="I205" s="40"/>
      <c r="J205" s="6"/>
      <c r="K205" s="7"/>
    </row>
    <row r="206" spans="1:11" s="1" customFormat="1">
      <c r="A206" s="8"/>
      <c r="B206" s="6"/>
      <c r="C206" s="6"/>
      <c r="D206" s="6"/>
      <c r="E206" s="13"/>
      <c r="F206" s="14"/>
      <c r="G206" s="123"/>
      <c r="H206" s="6"/>
      <c r="I206" s="40"/>
      <c r="J206" s="6"/>
      <c r="K206" s="7"/>
    </row>
    <row r="207" spans="1:11" s="1" customFormat="1">
      <c r="A207" s="8"/>
      <c r="B207" s="6"/>
      <c r="C207" s="6"/>
      <c r="D207" s="6"/>
      <c r="E207" s="13"/>
      <c r="F207" s="14"/>
      <c r="G207" s="123"/>
      <c r="H207" s="6"/>
      <c r="I207" s="40"/>
      <c r="J207" s="6"/>
      <c r="K207" s="7"/>
    </row>
    <row r="208" spans="1:11" s="1" customFormat="1">
      <c r="A208" s="8"/>
      <c r="B208" s="6"/>
      <c r="C208" s="6"/>
      <c r="D208" s="6"/>
      <c r="E208" s="13"/>
      <c r="F208" s="14"/>
      <c r="G208" s="123"/>
      <c r="H208" s="6"/>
      <c r="I208" s="40"/>
      <c r="J208" s="6"/>
      <c r="K208" s="7"/>
    </row>
    <row r="209" spans="1:11" s="1" customFormat="1">
      <c r="A209" s="8"/>
      <c r="B209" s="6"/>
      <c r="C209" s="6"/>
      <c r="D209" s="6"/>
      <c r="E209" s="13"/>
      <c r="F209" s="14"/>
      <c r="G209" s="123"/>
      <c r="H209" s="6"/>
      <c r="I209" s="40"/>
      <c r="J209" s="6"/>
      <c r="K209" s="7"/>
    </row>
    <row r="210" spans="1:11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1"/>
    </row>
    <row r="211" spans="1:11" s="1" customFormat="1">
      <c r="A211" s="8"/>
      <c r="B211" s="6"/>
      <c r="C211" s="6"/>
      <c r="D211" s="6"/>
      <c r="E211" s="6"/>
      <c r="F211" s="6"/>
      <c r="G211" s="6"/>
      <c r="H211" s="6"/>
      <c r="I211" s="6"/>
      <c r="J211" s="6"/>
      <c r="K211" s="7"/>
    </row>
    <row r="212" spans="1:11" s="1" customFormat="1">
      <c r="A212" s="8"/>
      <c r="B212" s="6"/>
      <c r="C212" s="6"/>
      <c r="D212" s="6"/>
      <c r="E212" s="6"/>
      <c r="F212" s="6"/>
      <c r="G212" s="6"/>
      <c r="H212" s="6"/>
      <c r="I212" s="6"/>
      <c r="J212" s="6"/>
      <c r="K212" s="7"/>
    </row>
    <row r="213" spans="1:11" s="1" customFormat="1">
      <c r="A213" s="8"/>
      <c r="B213" s="6"/>
      <c r="C213" s="6"/>
      <c r="D213" s="6"/>
      <c r="E213" s="6"/>
      <c r="F213" s="6"/>
      <c r="G213" s="6"/>
      <c r="H213" s="6"/>
      <c r="I213" s="6"/>
      <c r="J213" s="6"/>
      <c r="K213" s="7"/>
    </row>
    <row r="214" spans="1:11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5"/>
    </row>
    <row r="215" spans="1:11">
      <c r="A215" s="142" t="s">
        <v>106</v>
      </c>
      <c r="B215" s="143"/>
      <c r="C215" s="143"/>
      <c r="D215" s="143"/>
      <c r="E215" s="143"/>
      <c r="F215" s="143"/>
      <c r="G215" s="143"/>
      <c r="H215" s="143"/>
      <c r="I215" s="6"/>
      <c r="J215" s="6"/>
      <c r="K215" s="7"/>
    </row>
    <row r="216" spans="1:11">
      <c r="A216" s="8"/>
      <c r="B216" s="6"/>
      <c r="C216" s="6"/>
      <c r="D216" s="6"/>
      <c r="E216" s="6"/>
      <c r="F216" s="6"/>
      <c r="G216" s="6"/>
      <c r="H216" s="6"/>
      <c r="I216" s="6"/>
      <c r="J216" s="6"/>
      <c r="K216" s="7"/>
    </row>
    <row r="217" spans="1:11">
      <c r="A217" s="8"/>
      <c r="B217" s="6"/>
      <c r="C217" s="6"/>
      <c r="D217" s="6"/>
      <c r="E217" s="6"/>
      <c r="F217" s="6"/>
      <c r="G217" s="6"/>
      <c r="H217" s="6"/>
      <c r="I217" s="6"/>
      <c r="J217" s="6"/>
      <c r="K217" s="7"/>
    </row>
    <row r="218" spans="1:11">
      <c r="A218" s="8"/>
      <c r="B218" s="6"/>
      <c r="C218" s="31" t="s">
        <v>107</v>
      </c>
      <c r="D218" s="6"/>
      <c r="E218" s="6"/>
      <c r="F218" s="6"/>
      <c r="G218" s="6"/>
      <c r="H218" s="6"/>
      <c r="I218" s="6"/>
      <c r="J218" s="6"/>
      <c r="K218" s="7"/>
    </row>
    <row r="219" spans="1:11">
      <c r="A219" s="8"/>
      <c r="B219" s="6"/>
      <c r="C219" s="6"/>
      <c r="D219" s="6"/>
      <c r="E219" s="6"/>
      <c r="F219" s="6"/>
      <c r="G219" s="6"/>
      <c r="H219" s="6"/>
      <c r="I219" s="6"/>
      <c r="J219" s="6"/>
      <c r="K219" s="7"/>
    </row>
    <row r="220" spans="1:11">
      <c r="A220" s="8"/>
      <c r="B220" s="6"/>
      <c r="C220" s="6"/>
      <c r="D220" s="6"/>
      <c r="E220" s="6"/>
      <c r="F220" s="6"/>
      <c r="G220" s="6"/>
      <c r="H220" s="6"/>
      <c r="I220" s="6"/>
      <c r="J220" s="6"/>
      <c r="K220" s="7"/>
    </row>
    <row r="221" spans="1:11">
      <c r="A221" s="8"/>
      <c r="B221" s="6"/>
      <c r="C221" s="6"/>
      <c r="D221" s="6"/>
      <c r="E221" s="6"/>
      <c r="F221" s="6"/>
      <c r="G221" s="6"/>
      <c r="H221" s="6"/>
      <c r="I221" s="6"/>
      <c r="J221" s="6"/>
      <c r="K221" s="7"/>
    </row>
    <row r="222" spans="1:11">
      <c r="A222" s="8"/>
      <c r="B222" s="6"/>
      <c r="C222" s="6"/>
      <c r="D222" s="6"/>
      <c r="E222" s="6"/>
      <c r="F222" s="6"/>
      <c r="G222" s="6"/>
      <c r="H222" s="6"/>
      <c r="I222" s="6"/>
      <c r="J222" s="6"/>
      <c r="K222" s="7"/>
    </row>
    <row r="223" spans="1:11">
      <c r="A223" s="8"/>
      <c r="B223" s="6"/>
      <c r="C223" s="6"/>
      <c r="D223" s="6"/>
      <c r="E223" s="6"/>
      <c r="F223" s="6"/>
      <c r="G223" s="6"/>
      <c r="H223" s="6"/>
      <c r="I223" s="6"/>
      <c r="J223" s="6"/>
      <c r="K223" s="7"/>
    </row>
    <row r="224" spans="1:11">
      <c r="A224" s="8"/>
      <c r="B224" s="6"/>
      <c r="C224" s="6"/>
      <c r="D224" s="6"/>
      <c r="E224" s="6"/>
      <c r="F224" s="6"/>
      <c r="G224" s="6"/>
      <c r="H224" s="6"/>
      <c r="I224" s="6"/>
      <c r="J224" s="6"/>
      <c r="K224" s="7"/>
    </row>
    <row r="225" spans="1:22">
      <c r="A225" s="8"/>
      <c r="B225" s="6"/>
      <c r="C225" s="6"/>
      <c r="D225" s="6"/>
      <c r="E225" s="6"/>
      <c r="F225" s="6"/>
      <c r="G225" s="6"/>
      <c r="H225" s="6"/>
      <c r="I225" s="6"/>
      <c r="J225" s="6"/>
      <c r="K225" s="7"/>
    </row>
    <row r="226" spans="1:22">
      <c r="A226" s="8"/>
      <c r="B226" s="6"/>
      <c r="C226" s="6"/>
      <c r="D226" s="6"/>
      <c r="E226" s="6"/>
      <c r="F226" s="6"/>
      <c r="G226" s="6"/>
      <c r="H226" s="6"/>
      <c r="I226" s="6"/>
      <c r="J226" s="6"/>
      <c r="K226" s="7"/>
    </row>
    <row r="227" spans="1:22">
      <c r="A227" s="8"/>
      <c r="B227" s="6"/>
      <c r="C227" s="6"/>
      <c r="D227" s="6"/>
      <c r="E227" s="6"/>
      <c r="F227" s="6"/>
      <c r="G227" s="6"/>
      <c r="H227" s="6"/>
      <c r="I227" s="6"/>
      <c r="J227" s="6"/>
      <c r="K227" s="7"/>
    </row>
    <row r="228" spans="1:22">
      <c r="A228" s="8"/>
      <c r="B228" s="6"/>
      <c r="C228" s="6"/>
      <c r="D228" s="6"/>
      <c r="E228" s="6"/>
      <c r="F228" s="6"/>
      <c r="G228" s="6"/>
      <c r="H228" s="6"/>
      <c r="I228" s="6"/>
      <c r="J228" s="6"/>
      <c r="K228" s="7"/>
    </row>
    <row r="229" spans="1:22">
      <c r="A229" s="8"/>
      <c r="B229" s="6"/>
      <c r="C229" s="6"/>
      <c r="D229" s="6"/>
      <c r="E229" s="6"/>
      <c r="F229" s="6"/>
      <c r="G229" s="6"/>
      <c r="H229" s="6"/>
      <c r="I229" s="6"/>
      <c r="J229" s="6"/>
      <c r="K229" s="7"/>
    </row>
    <row r="230" spans="1:22">
      <c r="A230" s="8"/>
      <c r="B230" s="6"/>
      <c r="C230" s="6"/>
      <c r="D230" s="6"/>
      <c r="E230" s="6"/>
      <c r="F230" s="6"/>
      <c r="G230" s="6"/>
      <c r="H230" s="6"/>
      <c r="I230" s="6"/>
      <c r="J230" s="6"/>
      <c r="K230" s="7"/>
    </row>
    <row r="231" spans="1:22">
      <c r="A231" s="8"/>
      <c r="B231" s="6"/>
      <c r="C231" s="6"/>
      <c r="D231" s="6"/>
      <c r="E231" s="6"/>
      <c r="F231" s="6"/>
      <c r="G231" s="6"/>
      <c r="H231" s="6"/>
      <c r="I231" s="6"/>
      <c r="J231" s="6"/>
      <c r="K231" s="7"/>
    </row>
    <row r="232" spans="1:22">
      <c r="A232" s="8"/>
      <c r="B232" s="6"/>
      <c r="C232" s="6"/>
      <c r="D232" s="6"/>
      <c r="E232" s="6"/>
      <c r="F232" s="6"/>
      <c r="G232" s="6"/>
      <c r="H232" s="6"/>
      <c r="I232" s="6"/>
      <c r="J232" s="6"/>
      <c r="K232" s="7"/>
    </row>
    <row r="233" spans="1:22">
      <c r="A233" s="8"/>
      <c r="B233" s="6"/>
      <c r="C233" s="6"/>
      <c r="D233" s="6"/>
      <c r="E233" s="6"/>
      <c r="F233" s="6"/>
      <c r="G233" s="6"/>
      <c r="H233" s="6"/>
      <c r="I233" s="6"/>
      <c r="J233" s="6"/>
      <c r="K233" s="7"/>
    </row>
    <row r="234" spans="1:22" ht="16.2">
      <c r="A234" s="8"/>
      <c r="B234" s="35" t="s">
        <v>108</v>
      </c>
      <c r="C234" s="38" t="s">
        <v>40</v>
      </c>
      <c r="D234" s="26" t="s">
        <v>35</v>
      </c>
      <c r="E234" s="35" t="s">
        <v>36</v>
      </c>
      <c r="F234" s="35" t="s">
        <v>41</v>
      </c>
      <c r="G234" s="35" t="s">
        <v>42</v>
      </c>
      <c r="H234" s="35" t="s">
        <v>43</v>
      </c>
      <c r="I234" s="35" t="s">
        <v>12</v>
      </c>
      <c r="J234" s="6"/>
      <c r="K234" s="7"/>
    </row>
    <row r="235" spans="1:22">
      <c r="A235" s="8"/>
      <c r="B235" s="36" t="s">
        <v>37</v>
      </c>
      <c r="C235" s="39" t="s">
        <v>16</v>
      </c>
      <c r="D235" s="37" t="s">
        <v>1</v>
      </c>
      <c r="E235" s="36" t="s">
        <v>38</v>
      </c>
      <c r="F235" s="36" t="s">
        <v>1</v>
      </c>
      <c r="G235" s="36" t="s">
        <v>1</v>
      </c>
      <c r="H235" s="36" t="s">
        <v>39</v>
      </c>
      <c r="I235" s="36" t="s">
        <v>14</v>
      </c>
      <c r="J235" s="6"/>
      <c r="K235" s="7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8"/>
      <c r="B236" s="27">
        <v>2</v>
      </c>
      <c r="C236" s="41">
        <f>H89</f>
        <v>1.5</v>
      </c>
      <c r="D236" s="42">
        <f>I307</f>
        <v>0.42</v>
      </c>
      <c r="E236" s="43">
        <f>$H$25*D236+$H$29*D236^2</f>
        <v>5.3487</v>
      </c>
      <c r="F236" s="43">
        <f>$H$25+2*D236*SQRT(1+$H$29^2)</f>
        <v>13.693074127142696</v>
      </c>
      <c r="G236" s="44">
        <f>G189</f>
        <v>0.38775000000000004</v>
      </c>
      <c r="H236" s="45">
        <f>I198</f>
        <v>1.17</v>
      </c>
      <c r="I236" s="43">
        <f>H236*E236</f>
        <v>6.2579789999999997</v>
      </c>
      <c r="J236" s="6"/>
      <c r="K236" s="7"/>
      <c r="N236" s="1"/>
      <c r="O236" s="1"/>
      <c r="P236" s="1"/>
      <c r="Q236" s="1"/>
      <c r="R236" s="1"/>
      <c r="S236" s="1">
        <f>$H$31*(G237^(2/3))*SQRT($J$41/1000)</f>
        <v>1.3042426114059733</v>
      </c>
      <c r="T236" s="1"/>
      <c r="U236" s="1"/>
      <c r="V236" s="1"/>
    </row>
    <row r="237" spans="1:22">
      <c r="A237" s="8"/>
      <c r="B237" s="28" t="s">
        <v>10</v>
      </c>
      <c r="C237" s="46" t="s">
        <v>10</v>
      </c>
      <c r="D237" s="47">
        <v>0.5</v>
      </c>
      <c r="E237" s="48">
        <f>$H$25*D237+$H$29*D237^2</f>
        <v>6.4375</v>
      </c>
      <c r="F237" s="48">
        <f>$H$25+2*D237*SQRT(1+$H$29^2)</f>
        <v>14.015564437074637</v>
      </c>
      <c r="G237" s="48">
        <f>E237/F237</f>
        <v>0.4593107918630247</v>
      </c>
      <c r="H237" s="48">
        <f>$H$31*(G237^(2/3))*SQRT($J$41/1000)</f>
        <v>1.3042426114059733</v>
      </c>
      <c r="I237" s="43">
        <f t="shared" ref="I237:I239" si="7">H237*E237</f>
        <v>8.3960618109259535</v>
      </c>
      <c r="J237" s="6"/>
      <c r="K237" s="7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8"/>
      <c r="B238" s="28" t="s">
        <v>44</v>
      </c>
      <c r="C238" s="46">
        <f>H91</f>
        <v>2</v>
      </c>
      <c r="D238" s="49">
        <f>G318</f>
        <v>0.56860253710872755</v>
      </c>
      <c r="E238" s="48">
        <f>$H$25*D238+$H$29*D238^2</f>
        <v>7.3890209244160738</v>
      </c>
      <c r="F238" s="48">
        <f>$H$25+2*D238*SQRT(1+$H$29^2)</f>
        <v>14.292110105253526</v>
      </c>
      <c r="G238" s="50">
        <f>G191</f>
        <v>0.51700000000000002</v>
      </c>
      <c r="H238" s="51">
        <f>I200</f>
        <v>1.42</v>
      </c>
      <c r="I238" s="43">
        <f t="shared" si="7"/>
        <v>10.492409712670824</v>
      </c>
      <c r="J238" s="6"/>
      <c r="K238" s="7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8"/>
      <c r="B239" s="28" t="s">
        <v>10</v>
      </c>
      <c r="C239" s="46" t="s">
        <v>10</v>
      </c>
      <c r="D239" s="47">
        <v>0.7</v>
      </c>
      <c r="E239" s="48">
        <f>$H$25*D239+$H$29*D239^2</f>
        <v>9.2574999999999985</v>
      </c>
      <c r="F239" s="48">
        <f>$H$25+2*D239*SQRT(1+$H$29^2)</f>
        <v>14.821790211904492</v>
      </c>
      <c r="G239" s="48">
        <f>E239/F239</f>
        <v>0.62458716981195739</v>
      </c>
      <c r="H239" s="48">
        <f>$H$31*(G239^(2/3))*SQRT($J$41/1000)</f>
        <v>1.6008451498269736</v>
      </c>
      <c r="I239" s="43">
        <f t="shared" si="7"/>
        <v>14.819823974523205</v>
      </c>
      <c r="J239" s="6"/>
      <c r="K239" s="7"/>
      <c r="N239" s="1"/>
      <c r="O239" s="1"/>
      <c r="P239" s="1"/>
      <c r="Q239" s="1"/>
      <c r="R239" s="1"/>
      <c r="S239" s="1"/>
      <c r="T239" s="1"/>
      <c r="U239" s="1"/>
      <c r="V239" s="1"/>
    </row>
    <row r="240" spans="1:22" s="1" customFormat="1">
      <c r="A240" s="8"/>
      <c r="B240" s="30"/>
      <c r="C240" s="46"/>
      <c r="D240" s="52">
        <v>0</v>
      </c>
      <c r="E240" s="50">
        <f>$H$25*D240+$H$29*D240^2</f>
        <v>0</v>
      </c>
      <c r="F240" s="50">
        <f>ROUND($H$25+2*D240*SQRT(1+$H$29^2),2)</f>
        <v>12</v>
      </c>
      <c r="G240" s="50">
        <f>E240/F240</f>
        <v>0</v>
      </c>
      <c r="H240" s="50">
        <f t="shared" ref="H240:H251" si="8">$H$31*(G240^(2/3))*SQRT($J$41/1000)</f>
        <v>0</v>
      </c>
      <c r="I240" s="50">
        <f>H240*E240</f>
        <v>0</v>
      </c>
      <c r="J240" s="6"/>
      <c r="K240" s="7"/>
    </row>
    <row r="241" spans="1:22" s="1" customFormat="1">
      <c r="A241" s="8"/>
      <c r="B241" s="30"/>
      <c r="C241" s="46"/>
      <c r="D241" s="52">
        <v>0.1</v>
      </c>
      <c r="E241" s="50">
        <f>ROUND($H$25*D241+$H$29*D241^2,2)</f>
        <v>1.22</v>
      </c>
      <c r="F241" s="50">
        <f>ROUND($H$25+2*D241*SQRT(1+$H$29^2),2)</f>
        <v>12.4</v>
      </c>
      <c r="G241" s="50">
        <f>E241/F241</f>
        <v>9.838709677419355E-2</v>
      </c>
      <c r="H241" s="50">
        <f t="shared" si="8"/>
        <v>0.46692384054674496</v>
      </c>
      <c r="I241" s="50">
        <f>ROUND(H241,2)*ROUND(E241,2)</f>
        <v>0.57339999999999991</v>
      </c>
      <c r="J241" s="6"/>
      <c r="K241" s="7"/>
    </row>
    <row r="242" spans="1:22" s="1" customFormat="1">
      <c r="A242" s="8"/>
      <c r="B242" s="30"/>
      <c r="C242" s="84"/>
      <c r="D242" s="44">
        <v>1.09958848711957</v>
      </c>
      <c r="E242" s="44">
        <f>$H$25*D242+$H$29*D242^2</f>
        <v>15.310977817195173</v>
      </c>
      <c r="F242" s="44">
        <f>$H$25+2*D242*SQRT(1+$H$29^2)</f>
        <v>16.432582900109814</v>
      </c>
      <c r="G242" s="44">
        <f>E242/F242</f>
        <v>0.9317450525134946</v>
      </c>
      <c r="H242" s="44">
        <f t="shared" si="8"/>
        <v>2.0900275727816386</v>
      </c>
      <c r="I242" s="44">
        <f>H242*E242</f>
        <v>32.00036580418594</v>
      </c>
      <c r="J242" s="23">
        <v>32</v>
      </c>
      <c r="K242" s="7"/>
    </row>
    <row r="243" spans="1:22" s="1" customFormat="1">
      <c r="A243" s="8"/>
      <c r="B243" s="30"/>
      <c r="C243" s="84"/>
      <c r="D243" s="50">
        <v>0.8351889301978126</v>
      </c>
      <c r="E243" s="50">
        <f>$H$25*D243+$H$29*D243^2</f>
        <v>11.242963123342443</v>
      </c>
      <c r="F243" s="50">
        <f>$H$25+2*D243*SQRT(1+$H$29^2)</f>
        <v>15.366754211890246</v>
      </c>
      <c r="G243" s="50">
        <f>E243/F243</f>
        <v>0.73164202201158657</v>
      </c>
      <c r="H243" s="50">
        <f t="shared" si="8"/>
        <v>1.7789061896383089</v>
      </c>
      <c r="I243" s="50">
        <f>H243*E243</f>
        <v>20.000176689989125</v>
      </c>
      <c r="J243" s="24">
        <v>20</v>
      </c>
      <c r="K243" s="7"/>
      <c r="N243"/>
      <c r="O243"/>
      <c r="P243"/>
      <c r="Q243"/>
      <c r="R243"/>
      <c r="S243"/>
      <c r="T243"/>
      <c r="U243"/>
      <c r="V243"/>
    </row>
    <row r="244" spans="1:22" s="1" customFormat="1">
      <c r="A244" s="8"/>
      <c r="B244" s="30"/>
      <c r="C244" s="84"/>
      <c r="D244" s="50">
        <v>0.70498685964026908</v>
      </c>
      <c r="E244" s="50">
        <f t="shared" ref="E244:E251" si="9">$H$25*D244+$H$29*D244^2</f>
        <v>9.3296036421477631</v>
      </c>
      <c r="F244" s="50">
        <f t="shared" ref="F244:F251" si="10">$H$25+2*D244*SQRT(1+$H$29^2)</f>
        <v>14.841892885791712</v>
      </c>
      <c r="G244" s="50">
        <f t="shared" ref="G244:G251" si="11">E244/F244</f>
        <v>0.62859931101369715</v>
      </c>
      <c r="H244" s="50">
        <f t="shared" si="8"/>
        <v>1.6076933639331239</v>
      </c>
      <c r="I244" s="50">
        <f t="shared" ref="I244:I251" si="12">H244*E244</f>
        <v>14.999141863607262</v>
      </c>
      <c r="J244" s="24">
        <v>15</v>
      </c>
      <c r="K244" s="7"/>
      <c r="N244"/>
      <c r="O244"/>
      <c r="P244"/>
      <c r="Q244"/>
      <c r="R244"/>
      <c r="S244"/>
      <c r="T244"/>
      <c r="U244"/>
      <c r="V244"/>
    </row>
    <row r="245" spans="1:22" s="1" customFormat="1">
      <c r="A245" s="8"/>
      <c r="B245" s="30"/>
      <c r="C245" s="84"/>
      <c r="D245" s="50">
        <v>0.64786255001032722</v>
      </c>
      <c r="E245" s="50">
        <f t="shared" si="9"/>
        <v>8.5088708966092241</v>
      </c>
      <c r="F245" s="50">
        <f t="shared" si="10"/>
        <v>14.611617431826609</v>
      </c>
      <c r="G245" s="50">
        <f t="shared" si="11"/>
        <v>0.58233600327335722</v>
      </c>
      <c r="H245" s="50">
        <f t="shared" si="8"/>
        <v>1.5278112829677719</v>
      </c>
      <c r="I245" s="50">
        <f t="shared" si="12"/>
        <v>12.999948961155674</v>
      </c>
      <c r="J245" s="24">
        <v>13</v>
      </c>
      <c r="K245" s="7"/>
      <c r="N245"/>
      <c r="O245"/>
      <c r="P245"/>
      <c r="Q245"/>
      <c r="R245"/>
      <c r="S245"/>
      <c r="T245"/>
      <c r="U245"/>
      <c r="V245"/>
    </row>
    <row r="246" spans="1:22" s="1" customFormat="1">
      <c r="A246" s="8"/>
      <c r="B246" s="30"/>
      <c r="C246" s="84"/>
      <c r="D246" s="50">
        <v>0.58688020349648773</v>
      </c>
      <c r="E246" s="50">
        <f t="shared" si="9"/>
        <v>7.6453120951559903</v>
      </c>
      <c r="F246" s="50">
        <f t="shared" si="10"/>
        <v>14.365789733981295</v>
      </c>
      <c r="G246" s="50">
        <f t="shared" si="11"/>
        <v>0.53218877880911253</v>
      </c>
      <c r="H246" s="50">
        <f t="shared" si="8"/>
        <v>1.4387911600188537</v>
      </c>
      <c r="I246" s="50">
        <f t="shared" si="12"/>
        <v>11.000007458095659</v>
      </c>
      <c r="J246" s="24">
        <v>11</v>
      </c>
      <c r="K246" s="7"/>
      <c r="N246"/>
      <c r="O246"/>
      <c r="P246"/>
      <c r="Q246"/>
      <c r="R246"/>
      <c r="S246"/>
      <c r="T246"/>
      <c r="U246"/>
      <c r="V246"/>
    </row>
    <row r="247" spans="1:22" s="1" customFormat="1">
      <c r="A247" s="8"/>
      <c r="B247" s="30"/>
      <c r="C247" s="84"/>
      <c r="D247" s="50">
        <v>0.55465175519604815</v>
      </c>
      <c r="E247" s="50">
        <f t="shared" si="9"/>
        <v>7.1941885590511774</v>
      </c>
      <c r="F247" s="50">
        <f t="shared" si="10"/>
        <v>14.235872705468365</v>
      </c>
      <c r="G247" s="50">
        <f t="shared" si="11"/>
        <v>0.5053563422415055</v>
      </c>
      <c r="H247" s="50">
        <f t="shared" si="8"/>
        <v>1.3900137586376129</v>
      </c>
      <c r="I247" s="50">
        <f t="shared" si="12"/>
        <v>10.00002107931444</v>
      </c>
      <c r="J247" s="24">
        <v>10</v>
      </c>
      <c r="K247" s="7"/>
      <c r="N247"/>
      <c r="O247"/>
      <c r="P247"/>
      <c r="Q247"/>
      <c r="R247"/>
      <c r="S247"/>
      <c r="T247"/>
      <c r="U247"/>
      <c r="V247"/>
    </row>
    <row r="248" spans="1:22">
      <c r="A248" s="8"/>
      <c r="B248" s="28" t="s">
        <v>10</v>
      </c>
      <c r="C248" s="84" t="s">
        <v>10</v>
      </c>
      <c r="D248" s="50">
        <v>0.50366681096853594</v>
      </c>
      <c r="E248" s="50">
        <f t="shared" si="9"/>
        <v>6.4879421804470576</v>
      </c>
      <c r="F248" s="50">
        <f t="shared" si="10"/>
        <v>14.03034582464595</v>
      </c>
      <c r="G248" s="50">
        <f t="shared" si="11"/>
        <v>0.46242211428960112</v>
      </c>
      <c r="H248" s="50">
        <f t="shared" si="8"/>
        <v>1.3101258488968972</v>
      </c>
      <c r="I248" s="50">
        <f t="shared" si="12"/>
        <v>8.5000207567521873</v>
      </c>
      <c r="J248" s="24">
        <v>8.5</v>
      </c>
      <c r="K248" s="7"/>
    </row>
    <row r="249" spans="1:22">
      <c r="A249" s="8"/>
      <c r="B249" s="28" t="s">
        <v>10</v>
      </c>
      <c r="C249" s="84" t="s">
        <v>10</v>
      </c>
      <c r="D249" s="50">
        <v>0.46757583792199459</v>
      </c>
      <c r="E249" s="50">
        <f t="shared" si="9"/>
        <v>5.993507592428732</v>
      </c>
      <c r="F249" s="50">
        <f t="shared" si="10"/>
        <v>13.884858461101894</v>
      </c>
      <c r="G249" s="50">
        <f t="shared" si="11"/>
        <v>0.43165780978030155</v>
      </c>
      <c r="H249" s="50">
        <f t="shared" si="8"/>
        <v>1.2513544831981098</v>
      </c>
      <c r="I249" s="50">
        <f t="shared" si="12"/>
        <v>7.5000025958676035</v>
      </c>
      <c r="J249" s="24">
        <v>7.5</v>
      </c>
      <c r="K249" s="7"/>
    </row>
    <row r="250" spans="1:22">
      <c r="A250" s="8"/>
      <c r="B250" s="28" t="s">
        <v>10</v>
      </c>
      <c r="C250" s="84" t="s">
        <v>10</v>
      </c>
      <c r="D250" s="50">
        <v>0.42943666956189741</v>
      </c>
      <c r="E250" s="50">
        <f t="shared" si="9"/>
        <v>5.475967777780494</v>
      </c>
      <c r="F250" s="50">
        <f t="shared" si="10"/>
        <v>13.731114558289466</v>
      </c>
      <c r="G250" s="50">
        <f t="shared" si="11"/>
        <v>0.39879994843351269</v>
      </c>
      <c r="H250" s="50">
        <f t="shared" si="8"/>
        <v>1.1870181175531005</v>
      </c>
      <c r="I250" s="50">
        <f t="shared" si="12"/>
        <v>6.5000729633624372</v>
      </c>
      <c r="J250" s="24">
        <v>6.5</v>
      </c>
      <c r="K250" s="7"/>
    </row>
    <row r="251" spans="1:22">
      <c r="A251" s="8"/>
      <c r="B251" s="19" t="s">
        <v>10</v>
      </c>
      <c r="C251" s="85" t="s">
        <v>10</v>
      </c>
      <c r="D251" s="54">
        <v>0.40945834899498185</v>
      </c>
      <c r="E251" s="54">
        <f t="shared" si="9"/>
        <v>5.2068984321727507</v>
      </c>
      <c r="F251" s="54">
        <f t="shared" si="10"/>
        <v>13.650579373395162</v>
      </c>
      <c r="G251" s="54">
        <f t="shared" si="11"/>
        <v>0.3814415703351714</v>
      </c>
      <c r="H251" s="54">
        <f t="shared" si="8"/>
        <v>1.1523187620436126</v>
      </c>
      <c r="I251" s="54">
        <f t="shared" si="12"/>
        <v>6.0000067554481316</v>
      </c>
      <c r="J251" s="25">
        <v>6</v>
      </c>
      <c r="K251" s="7"/>
    </row>
    <row r="252" spans="1:22">
      <c r="A252" s="8"/>
      <c r="B252" s="6"/>
      <c r="C252" s="6"/>
      <c r="D252" s="6"/>
      <c r="E252" s="6"/>
      <c r="F252" s="6"/>
      <c r="G252" s="6"/>
      <c r="H252" s="6"/>
      <c r="I252" s="6"/>
      <c r="J252" s="6"/>
      <c r="K252" s="7"/>
    </row>
    <row r="253" spans="1:22">
      <c r="A253" s="8"/>
      <c r="B253" s="6"/>
      <c r="C253" s="6"/>
      <c r="D253" s="6"/>
      <c r="E253" s="6"/>
      <c r="F253" s="6"/>
      <c r="G253" s="6"/>
      <c r="H253" s="6"/>
      <c r="I253" s="6"/>
      <c r="J253" s="6"/>
      <c r="K253" s="7"/>
    </row>
    <row r="254" spans="1:22">
      <c r="A254" s="8"/>
      <c r="B254" s="14" t="s">
        <v>6</v>
      </c>
      <c r="C254" s="150" t="s">
        <v>110</v>
      </c>
      <c r="D254" s="150"/>
      <c r="E254" s="150"/>
      <c r="F254" s="150"/>
      <c r="G254" s="150"/>
      <c r="H254" s="150"/>
      <c r="I254" s="150"/>
      <c r="J254" s="6"/>
      <c r="K254" s="7"/>
    </row>
    <row r="255" spans="1:22">
      <c r="A255" s="8"/>
      <c r="B255" s="6"/>
      <c r="C255" s="6"/>
      <c r="D255" s="6"/>
      <c r="E255" s="6"/>
      <c r="F255" s="6"/>
      <c r="G255" s="6"/>
      <c r="H255" s="6"/>
      <c r="I255" s="6"/>
      <c r="J255" s="6"/>
      <c r="K255" s="7"/>
    </row>
    <row r="256" spans="1:22">
      <c r="A256" s="8"/>
      <c r="B256" s="14" t="s">
        <v>45</v>
      </c>
      <c r="C256" s="150" t="s">
        <v>109</v>
      </c>
      <c r="D256" s="150"/>
      <c r="E256" s="150"/>
      <c r="F256" s="150"/>
      <c r="G256" s="150"/>
      <c r="H256" s="150"/>
      <c r="I256" s="150"/>
      <c r="J256" s="150"/>
      <c r="K256" s="7"/>
    </row>
    <row r="257" spans="1:11">
      <c r="A257" s="8"/>
      <c r="B257" s="6"/>
      <c r="C257" s="6"/>
      <c r="D257" s="6"/>
      <c r="E257" s="6"/>
      <c r="F257" s="6"/>
      <c r="G257" s="6"/>
      <c r="H257" s="6"/>
      <c r="I257" s="6"/>
      <c r="J257" s="6"/>
      <c r="K257" s="7"/>
    </row>
    <row r="258" spans="1:11">
      <c r="A258" s="8"/>
      <c r="B258" s="14"/>
      <c r="C258" s="55"/>
      <c r="D258" s="55"/>
      <c r="E258" s="55"/>
      <c r="F258" s="55"/>
      <c r="G258" s="55"/>
      <c r="H258" s="55"/>
      <c r="I258" s="55"/>
      <c r="J258" s="6"/>
      <c r="K258" s="7"/>
    </row>
    <row r="259" spans="1:11">
      <c r="A259" s="8"/>
      <c r="B259" s="6"/>
      <c r="C259" s="6"/>
      <c r="D259" s="6"/>
      <c r="E259" s="6"/>
      <c r="F259" s="6"/>
      <c r="G259" s="6"/>
      <c r="H259" s="6"/>
      <c r="I259" s="6"/>
      <c r="J259" s="6"/>
      <c r="K259" s="7"/>
    </row>
    <row r="260" spans="1:11">
      <c r="A260" s="8"/>
      <c r="B260" s="6"/>
      <c r="C260" s="6"/>
      <c r="D260" s="6"/>
      <c r="E260" s="6"/>
      <c r="F260" s="6"/>
      <c r="G260" s="6"/>
      <c r="H260" s="6"/>
      <c r="I260" s="6"/>
      <c r="J260" s="6"/>
      <c r="K260" s="7"/>
    </row>
    <row r="261" spans="1:11">
      <c r="A261" s="8"/>
      <c r="B261" s="6"/>
      <c r="C261" s="6"/>
      <c r="D261" s="6"/>
      <c r="E261" s="6"/>
      <c r="F261" s="6"/>
      <c r="G261" s="6"/>
      <c r="H261" s="6"/>
      <c r="I261" s="6"/>
      <c r="J261" s="6"/>
      <c r="K261" s="7"/>
    </row>
    <row r="262" spans="1:11">
      <c r="A262" s="8"/>
      <c r="B262" s="6"/>
      <c r="C262" s="6"/>
      <c r="D262" s="6"/>
      <c r="E262" s="6"/>
      <c r="F262" s="6"/>
      <c r="G262" s="6"/>
      <c r="H262" s="6"/>
      <c r="I262" s="6"/>
      <c r="J262" s="6"/>
      <c r="K262" s="7"/>
    </row>
    <row r="263" spans="1:11">
      <c r="A263" s="8"/>
      <c r="B263" s="6"/>
      <c r="C263" s="6"/>
      <c r="D263" s="6"/>
      <c r="E263" s="6"/>
      <c r="F263" s="6"/>
      <c r="G263" s="6"/>
      <c r="H263" s="6"/>
      <c r="I263" s="6"/>
      <c r="J263" s="6"/>
      <c r="K263" s="7"/>
    </row>
    <row r="264" spans="1:11">
      <c r="A264" s="8"/>
      <c r="B264" s="6"/>
      <c r="C264" s="6"/>
      <c r="D264" s="6"/>
      <c r="E264" s="6"/>
      <c r="F264" s="6"/>
      <c r="G264" s="6"/>
      <c r="H264" s="6"/>
      <c r="I264" s="6"/>
      <c r="J264" s="6"/>
      <c r="K264" s="7"/>
    </row>
    <row r="265" spans="1:11">
      <c r="A265" s="8"/>
      <c r="B265" s="6"/>
      <c r="C265" s="6"/>
      <c r="D265" s="6"/>
      <c r="E265" s="6"/>
      <c r="F265" s="6"/>
      <c r="G265" s="6"/>
      <c r="H265" s="6"/>
      <c r="I265" s="6"/>
      <c r="J265" s="6"/>
      <c r="K265" s="7"/>
    </row>
    <row r="266" spans="1:11">
      <c r="A266" s="8"/>
      <c r="B266" s="6"/>
      <c r="C266" s="6"/>
      <c r="D266" s="6"/>
      <c r="E266" s="6"/>
      <c r="F266" s="6"/>
      <c r="G266" s="6"/>
      <c r="H266" s="6"/>
      <c r="I266" s="6"/>
      <c r="J266" s="6"/>
      <c r="K266" s="7"/>
    </row>
    <row r="267" spans="1:11">
      <c r="A267" s="8"/>
      <c r="B267" s="6"/>
      <c r="C267" s="6"/>
      <c r="D267" s="6"/>
      <c r="E267" s="6"/>
      <c r="F267" s="6"/>
      <c r="G267" s="6"/>
      <c r="H267" s="6"/>
      <c r="I267" s="6"/>
      <c r="J267" s="6"/>
      <c r="K267" s="7"/>
    </row>
    <row r="268" spans="1:11">
      <c r="A268" s="8"/>
      <c r="B268" s="6"/>
      <c r="C268" s="6"/>
      <c r="D268" s="6"/>
      <c r="E268" s="6"/>
      <c r="F268" s="6"/>
      <c r="G268" s="6"/>
      <c r="H268" s="6"/>
      <c r="I268" s="6"/>
      <c r="J268" s="6"/>
      <c r="K268" s="7"/>
    </row>
    <row r="269" spans="1:11">
      <c r="A269" s="8"/>
      <c r="B269" s="6"/>
      <c r="C269" s="6"/>
      <c r="D269" s="6"/>
      <c r="E269" s="6"/>
      <c r="F269" s="6"/>
      <c r="G269" s="6"/>
      <c r="H269" s="6"/>
      <c r="I269" s="6"/>
      <c r="J269" s="6"/>
      <c r="K269" s="7"/>
    </row>
    <row r="270" spans="1:11">
      <c r="A270" s="8"/>
      <c r="B270" s="6"/>
      <c r="C270" s="6"/>
      <c r="D270" s="6"/>
      <c r="E270" s="6"/>
      <c r="F270" s="6"/>
      <c r="G270" s="6"/>
      <c r="H270" s="6"/>
      <c r="I270" s="6"/>
      <c r="J270" s="6"/>
      <c r="K270" s="7"/>
    </row>
    <row r="271" spans="1:11">
      <c r="A271" s="8"/>
      <c r="B271" s="6"/>
      <c r="C271" s="6"/>
      <c r="D271" s="6"/>
      <c r="E271" s="6"/>
      <c r="F271" s="6"/>
      <c r="G271" s="6"/>
      <c r="H271" s="6"/>
      <c r="I271" s="6"/>
      <c r="J271" s="6"/>
      <c r="K271" s="7"/>
    </row>
    <row r="272" spans="1:11">
      <c r="A272" s="8"/>
      <c r="B272" s="6"/>
      <c r="C272" s="6"/>
      <c r="D272" s="6"/>
      <c r="E272" s="6"/>
      <c r="F272" s="6"/>
      <c r="G272" s="6"/>
      <c r="H272" s="6"/>
      <c r="I272" s="6"/>
      <c r="J272" s="6"/>
      <c r="K272" s="7"/>
    </row>
    <row r="273" spans="1:11" s="1" customFormat="1">
      <c r="A273" s="8"/>
      <c r="B273" s="6"/>
      <c r="C273" s="6"/>
      <c r="D273" s="6"/>
      <c r="E273" s="6"/>
      <c r="F273" s="6"/>
      <c r="G273" s="6"/>
      <c r="H273" s="6"/>
      <c r="I273" s="6"/>
      <c r="J273" s="6"/>
      <c r="K273" s="7"/>
    </row>
    <row r="274" spans="1:11" s="1" customFormat="1">
      <c r="A274" s="8"/>
      <c r="B274" s="6"/>
      <c r="C274" s="6"/>
      <c r="D274" s="6"/>
      <c r="E274" s="6"/>
      <c r="F274" s="6"/>
      <c r="G274" s="6"/>
      <c r="H274" s="6"/>
      <c r="I274" s="6"/>
      <c r="J274" s="6"/>
      <c r="K274" s="7"/>
    </row>
    <row r="275" spans="1:11" s="1" customFormat="1">
      <c r="A275" s="8"/>
      <c r="B275" s="6"/>
      <c r="C275" s="6"/>
      <c r="D275" s="6"/>
      <c r="E275" s="6"/>
      <c r="F275" s="6"/>
      <c r="G275" s="6"/>
      <c r="H275" s="6"/>
      <c r="I275" s="6"/>
      <c r="J275" s="6"/>
      <c r="K275" s="7"/>
    </row>
    <row r="276" spans="1:11" s="1" customFormat="1">
      <c r="A276" s="8"/>
      <c r="B276" s="6"/>
      <c r="C276" s="6"/>
      <c r="D276" s="6"/>
      <c r="E276" s="6"/>
      <c r="F276" s="6"/>
      <c r="G276" s="6"/>
      <c r="H276" s="6"/>
      <c r="I276" s="6"/>
      <c r="J276" s="6"/>
      <c r="K276" s="7"/>
    </row>
    <row r="277" spans="1:11" s="1" customFormat="1">
      <c r="A277" s="8"/>
      <c r="B277" s="6"/>
      <c r="C277" s="6"/>
      <c r="D277" s="6"/>
      <c r="E277" s="6"/>
      <c r="F277" s="6"/>
      <c r="G277" s="6"/>
      <c r="H277" s="6"/>
      <c r="I277" s="6"/>
      <c r="J277" s="6"/>
      <c r="K277" s="7"/>
    </row>
    <row r="278" spans="1:11" s="1" customFormat="1">
      <c r="A278" s="8"/>
      <c r="B278" s="6"/>
      <c r="C278" s="6"/>
      <c r="D278" s="6"/>
      <c r="E278" s="6"/>
      <c r="F278" s="6"/>
      <c r="G278" s="6"/>
      <c r="H278" s="6"/>
      <c r="I278" s="6"/>
      <c r="J278" s="6"/>
      <c r="K278" s="7"/>
    </row>
    <row r="279" spans="1:11" s="1" customFormat="1">
      <c r="A279" s="8"/>
      <c r="B279" s="6"/>
      <c r="C279" s="6"/>
      <c r="D279" s="6"/>
      <c r="E279" s="6"/>
      <c r="F279" s="6"/>
      <c r="G279" s="6"/>
      <c r="H279" s="6"/>
      <c r="I279" s="6"/>
      <c r="J279" s="6"/>
      <c r="K279" s="7"/>
    </row>
    <row r="280" spans="1:11" s="1" customFormat="1">
      <c r="A280" s="8"/>
      <c r="B280" s="6"/>
      <c r="C280" s="6"/>
      <c r="D280" s="6"/>
      <c r="E280" s="6"/>
      <c r="F280" s="6"/>
      <c r="G280" s="6"/>
      <c r="H280" s="6"/>
      <c r="I280" s="6"/>
      <c r="J280" s="6"/>
      <c r="K280" s="7"/>
    </row>
    <row r="281" spans="1:11" s="1" customFormat="1">
      <c r="A281" s="8"/>
      <c r="B281" s="6"/>
      <c r="C281" s="6"/>
      <c r="D281" s="6"/>
      <c r="E281" s="6"/>
      <c r="F281" s="6"/>
      <c r="G281" s="6"/>
      <c r="H281" s="6"/>
      <c r="I281" s="6"/>
      <c r="J281" s="6"/>
      <c r="K281" s="7"/>
    </row>
    <row r="282" spans="1:11" s="1" customFormat="1">
      <c r="A282" s="8"/>
      <c r="B282" s="6"/>
      <c r="C282" s="6"/>
      <c r="D282" s="6"/>
      <c r="E282" s="6"/>
      <c r="F282" s="6"/>
      <c r="G282" s="6"/>
      <c r="H282" s="6"/>
      <c r="I282" s="6"/>
      <c r="J282" s="6"/>
      <c r="K282" s="7"/>
    </row>
    <row r="283" spans="1:11" s="1" customFormat="1">
      <c r="A283" s="8"/>
      <c r="B283" s="6"/>
      <c r="C283" s="6"/>
      <c r="D283" s="6"/>
      <c r="E283" s="6"/>
      <c r="F283" s="6"/>
      <c r="G283" s="6"/>
      <c r="H283" s="6"/>
      <c r="I283" s="6"/>
      <c r="J283" s="6"/>
      <c r="K283" s="7"/>
    </row>
    <row r="284" spans="1:11" s="1" customFormat="1">
      <c r="A284" s="8"/>
      <c r="B284" s="6"/>
      <c r="C284" s="6"/>
      <c r="D284" s="6"/>
      <c r="E284" s="6"/>
      <c r="F284" s="6"/>
      <c r="G284" s="6"/>
      <c r="H284" s="6"/>
      <c r="I284" s="6"/>
      <c r="J284" s="6"/>
      <c r="K284" s="7"/>
    </row>
    <row r="285" spans="1:11">
      <c r="A285" s="8"/>
      <c r="B285" s="6"/>
      <c r="C285" s="6"/>
      <c r="D285" s="6"/>
      <c r="E285" s="6"/>
      <c r="F285" s="6"/>
      <c r="G285" s="6"/>
      <c r="H285" s="6"/>
      <c r="I285" s="6"/>
      <c r="J285" s="6"/>
      <c r="K285" s="7"/>
    </row>
    <row r="286" spans="1:11">
      <c r="A286" s="8"/>
      <c r="B286" s="6"/>
      <c r="C286" s="6"/>
      <c r="D286" s="6"/>
      <c r="E286" s="6"/>
      <c r="F286" s="6"/>
      <c r="G286" s="6"/>
      <c r="H286" s="6"/>
      <c r="I286" s="6"/>
      <c r="J286" s="6"/>
      <c r="K286" s="7"/>
    </row>
    <row r="287" spans="1:11">
      <c r="A287" s="8"/>
      <c r="B287" s="6"/>
      <c r="C287" s="6"/>
      <c r="D287" s="6"/>
      <c r="E287" s="6"/>
      <c r="F287" s="6"/>
      <c r="G287" s="6"/>
      <c r="H287" s="6"/>
      <c r="I287" s="6"/>
      <c r="J287" s="6"/>
      <c r="K287" s="7"/>
    </row>
    <row r="288" spans="1:11">
      <c r="A288" s="8"/>
      <c r="B288" s="6"/>
      <c r="C288" s="31" t="s">
        <v>111</v>
      </c>
      <c r="D288" s="31"/>
      <c r="E288" s="31"/>
      <c r="F288" s="6"/>
      <c r="G288" s="6"/>
      <c r="H288" s="6"/>
      <c r="I288" s="6"/>
      <c r="J288" s="6"/>
      <c r="K288" s="7"/>
    </row>
    <row r="289" spans="1:22">
      <c r="A289" s="8"/>
      <c r="B289" s="6"/>
      <c r="C289" s="6"/>
      <c r="D289" s="6"/>
      <c r="E289" s="6"/>
      <c r="F289" s="6"/>
      <c r="G289" s="6"/>
      <c r="H289" s="6"/>
      <c r="I289" s="6"/>
      <c r="J289" s="6"/>
      <c r="K289" s="7"/>
    </row>
    <row r="290" spans="1:22">
      <c r="A290" s="8"/>
      <c r="B290" s="6"/>
      <c r="C290" s="6"/>
      <c r="D290" s="6"/>
      <c r="E290" s="6"/>
      <c r="F290" s="6"/>
      <c r="G290" s="6"/>
      <c r="H290" s="6"/>
      <c r="I290" s="6"/>
      <c r="J290" s="6"/>
      <c r="K290" s="7"/>
    </row>
    <row r="291" spans="1:22">
      <c r="A291" s="8"/>
      <c r="B291" s="6"/>
      <c r="C291" s="6"/>
      <c r="D291" s="6"/>
      <c r="E291" s="6"/>
      <c r="F291" s="6"/>
      <c r="G291" s="6"/>
      <c r="H291" s="6"/>
      <c r="I291" s="6"/>
      <c r="J291" s="6"/>
      <c r="K291" s="7"/>
    </row>
    <row r="292" spans="1:22">
      <c r="A292" s="8"/>
      <c r="B292" s="6"/>
      <c r="C292" s="6"/>
      <c r="D292" s="6"/>
      <c r="E292" s="6"/>
      <c r="F292" s="6"/>
      <c r="G292" s="6"/>
      <c r="H292" s="6"/>
      <c r="I292" s="6"/>
      <c r="J292" s="6"/>
      <c r="K292" s="7"/>
    </row>
    <row r="293" spans="1:22">
      <c r="A293" s="8"/>
      <c r="B293" s="6"/>
      <c r="C293" s="6"/>
      <c r="D293" s="6"/>
      <c r="E293" s="6"/>
      <c r="F293" s="14"/>
      <c r="G293" s="56"/>
      <c r="H293" s="6"/>
      <c r="I293" s="6"/>
      <c r="J293" s="6"/>
      <c r="K293" s="7"/>
    </row>
    <row r="294" spans="1:22">
      <c r="A294" s="8"/>
      <c r="B294" s="6"/>
      <c r="C294" s="6"/>
      <c r="D294" s="6"/>
      <c r="E294" s="6"/>
      <c r="F294" s="14"/>
      <c r="G294" s="6"/>
      <c r="H294" s="6"/>
      <c r="I294" s="6"/>
      <c r="J294" s="6"/>
      <c r="K294" s="7"/>
    </row>
    <row r="295" spans="1:22">
      <c r="A295" s="8"/>
      <c r="B295" s="6"/>
      <c r="C295" s="6"/>
      <c r="D295" s="6"/>
      <c r="E295" s="6"/>
      <c r="F295" s="14"/>
      <c r="G295" s="6"/>
      <c r="H295" s="6"/>
      <c r="I295" s="6"/>
      <c r="J295" s="6"/>
      <c r="K295" s="7"/>
    </row>
    <row r="296" spans="1:22">
      <c r="A296" s="8"/>
      <c r="B296" s="6"/>
      <c r="C296" s="6"/>
      <c r="D296" s="6"/>
      <c r="E296" s="6"/>
      <c r="F296" s="14"/>
      <c r="G296" s="6"/>
      <c r="H296" s="6"/>
      <c r="I296" s="6"/>
      <c r="J296" s="6"/>
      <c r="K296" s="7"/>
    </row>
    <row r="297" spans="1:22">
      <c r="A297" s="8"/>
      <c r="B297" s="6"/>
      <c r="C297" s="6"/>
      <c r="D297" s="6"/>
      <c r="E297" s="6"/>
      <c r="F297" s="14"/>
      <c r="G297" s="56"/>
      <c r="H297" s="6"/>
      <c r="I297" s="6"/>
      <c r="J297" s="6"/>
      <c r="K297" s="7"/>
    </row>
    <row r="298" spans="1:22">
      <c r="A298" s="8"/>
      <c r="B298" s="6"/>
      <c r="C298" s="6"/>
      <c r="D298" s="6"/>
      <c r="E298" s="6"/>
      <c r="F298" s="6"/>
      <c r="G298" s="6"/>
      <c r="H298" s="6"/>
      <c r="I298" s="6"/>
      <c r="J298" s="6"/>
      <c r="K298" s="7"/>
    </row>
    <row r="299" spans="1:22">
      <c r="A299" s="8"/>
      <c r="B299" s="6"/>
      <c r="C299" s="6"/>
      <c r="D299" s="6"/>
      <c r="E299" s="6"/>
      <c r="F299" s="6"/>
      <c r="G299" s="6"/>
      <c r="H299" s="6"/>
      <c r="I299" s="6"/>
      <c r="J299" s="6"/>
      <c r="K299" s="7"/>
    </row>
    <row r="300" spans="1:22">
      <c r="A300" s="8"/>
      <c r="B300" s="6"/>
      <c r="C300" s="6"/>
      <c r="D300" s="31" t="s">
        <v>112</v>
      </c>
      <c r="E300" s="6"/>
      <c r="F300" s="6"/>
      <c r="G300" s="6"/>
      <c r="H300" s="6"/>
      <c r="I300" s="6"/>
      <c r="J300" s="6"/>
      <c r="K300" s="7"/>
    </row>
    <row r="301" spans="1:22">
      <c r="A301" s="8"/>
      <c r="B301" s="6"/>
      <c r="C301" s="6"/>
      <c r="D301" s="6"/>
      <c r="E301" s="6"/>
      <c r="F301" s="6"/>
      <c r="G301" s="6"/>
      <c r="H301" s="6"/>
      <c r="I301" s="6"/>
      <c r="J301" s="6"/>
      <c r="K301" s="7"/>
    </row>
    <row r="302" spans="1:22">
      <c r="A302" s="8"/>
      <c r="B302" s="6"/>
      <c r="C302" s="6"/>
      <c r="D302" s="6"/>
      <c r="E302" s="13" t="s">
        <v>47</v>
      </c>
      <c r="F302" s="14" t="s">
        <v>0</v>
      </c>
      <c r="G302" s="21">
        <f>($H$25-2*$G$236*SQRT(1+$H$29^2))/$H$29</f>
        <v>5.963959873742068</v>
      </c>
      <c r="H302" s="6" t="s">
        <v>1</v>
      </c>
      <c r="I302" s="6"/>
      <c r="J302" s="6"/>
      <c r="K302" s="7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8"/>
      <c r="B303" s="6"/>
      <c r="C303" s="6"/>
      <c r="D303" s="6"/>
      <c r="E303" s="13"/>
      <c r="F303" s="14"/>
      <c r="G303" s="6"/>
      <c r="H303" s="6"/>
      <c r="I303" s="6"/>
      <c r="J303" s="6"/>
      <c r="K303" s="7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8"/>
      <c r="B304" s="6"/>
      <c r="C304" s="6"/>
      <c r="D304" s="6"/>
      <c r="E304" s="13" t="s">
        <v>48</v>
      </c>
      <c r="F304" s="14" t="s">
        <v>0</v>
      </c>
      <c r="G304" s="21">
        <f>-(($G$236*$H$25)/$H$29)</f>
        <v>-2.6588571428571433</v>
      </c>
      <c r="H304" s="6" t="s">
        <v>38</v>
      </c>
      <c r="I304" s="6"/>
      <c r="J304" s="6"/>
      <c r="K304" s="7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8"/>
      <c r="B305" s="6"/>
      <c r="C305" s="6"/>
      <c r="D305" s="6"/>
      <c r="E305" s="6"/>
      <c r="F305" s="14"/>
      <c r="G305" s="6"/>
      <c r="H305" s="6"/>
      <c r="I305" s="6"/>
      <c r="J305" s="6"/>
      <c r="K305" s="7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8"/>
      <c r="B306" s="6"/>
      <c r="C306" s="6"/>
      <c r="D306" s="6"/>
      <c r="E306" s="6"/>
      <c r="F306" s="14"/>
      <c r="G306" s="56"/>
      <c r="H306" s="6"/>
      <c r="I306" s="6"/>
      <c r="J306" s="6"/>
      <c r="K306" s="7"/>
      <c r="N306" s="1"/>
      <c r="O306" s="1"/>
      <c r="P306" s="1"/>
      <c r="Q306" s="1"/>
      <c r="R306" s="1"/>
      <c r="S306" s="1"/>
      <c r="T306" s="1"/>
      <c r="U306" s="1"/>
      <c r="V306" s="1"/>
    </row>
    <row r="307" spans="1:22" s="1" customFormat="1" ht="16.2">
      <c r="A307" s="8"/>
      <c r="B307" s="6"/>
      <c r="C307" s="6"/>
      <c r="D307" s="6"/>
      <c r="E307" s="13" t="s">
        <v>49</v>
      </c>
      <c r="F307" s="14" t="s">
        <v>0</v>
      </c>
      <c r="G307" s="21">
        <f>(-$G$302/2)+SQRT((($G$302/2)^2)-$G$304)</f>
        <v>0.41670532168977026</v>
      </c>
      <c r="H307" s="6" t="s">
        <v>1</v>
      </c>
      <c r="I307" s="57">
        <f>ROUND(G307,2)</f>
        <v>0.42</v>
      </c>
      <c r="J307" s="6"/>
      <c r="K307" s="7"/>
    </row>
    <row r="308" spans="1:22" s="1" customFormat="1" ht="16.2">
      <c r="A308" s="8"/>
      <c r="B308" s="6"/>
      <c r="C308" s="6"/>
      <c r="D308" s="6"/>
      <c r="E308" s="13" t="s">
        <v>50</v>
      </c>
      <c r="F308" s="14" t="s">
        <v>0</v>
      </c>
      <c r="G308" s="56">
        <f>(-$G$302/2)-SQRT((($G$302/2)^2)-$G$304)</f>
        <v>-6.3806651954318383</v>
      </c>
      <c r="H308" s="6" t="s">
        <v>1</v>
      </c>
      <c r="I308" s="121" t="s">
        <v>113</v>
      </c>
      <c r="J308" s="6"/>
      <c r="K308" s="7"/>
    </row>
    <row r="309" spans="1:22" s="1" customFormat="1">
      <c r="A309" s="8"/>
      <c r="B309" s="6"/>
      <c r="C309" s="6"/>
      <c r="D309" s="6"/>
      <c r="E309" s="13"/>
      <c r="F309" s="14"/>
      <c r="G309" s="56"/>
      <c r="H309" s="6"/>
      <c r="I309" s="58"/>
      <c r="J309" s="6"/>
      <c r="K309" s="7"/>
    </row>
    <row r="310" spans="1:22" s="1" customFormat="1">
      <c r="A310" s="8"/>
      <c r="B310" s="6"/>
      <c r="C310" s="6"/>
      <c r="D310" s="6"/>
      <c r="E310" s="13"/>
      <c r="F310" s="14"/>
      <c r="G310" s="56"/>
      <c r="H310" s="6"/>
      <c r="I310" s="58"/>
      <c r="J310" s="6"/>
      <c r="K310" s="7"/>
    </row>
    <row r="311" spans="1:22" s="1" customFormat="1">
      <c r="A311" s="8"/>
      <c r="B311" s="6"/>
      <c r="C311" s="6"/>
      <c r="D311" s="31" t="s">
        <v>114</v>
      </c>
      <c r="E311" s="6"/>
      <c r="F311" s="6"/>
      <c r="G311" s="6"/>
      <c r="H311" s="6"/>
      <c r="I311" s="6"/>
      <c r="J311" s="6"/>
      <c r="K311" s="7"/>
    </row>
    <row r="312" spans="1:22" s="1" customFormat="1">
      <c r="A312" s="8"/>
      <c r="B312" s="6"/>
      <c r="C312" s="6"/>
      <c r="D312" s="6"/>
      <c r="E312" s="6"/>
      <c r="F312" s="6"/>
      <c r="G312" s="6"/>
      <c r="H312" s="6"/>
      <c r="I312" s="6"/>
      <c r="J312" s="6"/>
      <c r="K312" s="7"/>
    </row>
    <row r="313" spans="1:22" s="1" customFormat="1">
      <c r="A313" s="8"/>
      <c r="B313" s="6"/>
      <c r="C313" s="6"/>
      <c r="D313" s="6"/>
      <c r="E313" s="13" t="s">
        <v>47</v>
      </c>
      <c r="F313" s="14" t="s">
        <v>0</v>
      </c>
      <c r="G313" s="21">
        <f>($H$25-2*$G$238*SQRT(1+$H$29^2))/$H$29</f>
        <v>5.6662322126084712</v>
      </c>
      <c r="H313" s="6" t="s">
        <v>1</v>
      </c>
      <c r="I313" s="6"/>
      <c r="J313" s="6"/>
      <c r="K313" s="7"/>
    </row>
    <row r="314" spans="1:22" s="1" customFormat="1">
      <c r="A314" s="8"/>
      <c r="B314" s="6"/>
      <c r="C314" s="6"/>
      <c r="D314" s="6"/>
      <c r="E314" s="13"/>
      <c r="F314" s="14"/>
      <c r="G314" s="6"/>
      <c r="H314" s="6"/>
      <c r="I314" s="6"/>
      <c r="J314" s="6"/>
      <c r="K314" s="7"/>
      <c r="N314"/>
      <c r="O314"/>
      <c r="P314"/>
      <c r="Q314"/>
      <c r="R314"/>
      <c r="S314"/>
      <c r="T314"/>
      <c r="U314"/>
      <c r="V314"/>
    </row>
    <row r="315" spans="1:22" s="1" customFormat="1">
      <c r="A315" s="8"/>
      <c r="B315" s="6"/>
      <c r="C315" s="6"/>
      <c r="D315" s="6"/>
      <c r="E315" s="13" t="s">
        <v>48</v>
      </c>
      <c r="F315" s="14" t="s">
        <v>0</v>
      </c>
      <c r="G315" s="21">
        <f>-(($G$238*$H$25)/$H$29)</f>
        <v>-3.5451428571428574</v>
      </c>
      <c r="H315" s="6" t="s">
        <v>38</v>
      </c>
      <c r="I315" s="121"/>
      <c r="J315" s="6"/>
      <c r="K315" s="7"/>
    </row>
    <row r="316" spans="1:22" s="1" customFormat="1">
      <c r="A316" s="8"/>
      <c r="B316" s="6"/>
      <c r="C316" s="6"/>
      <c r="D316" s="6"/>
      <c r="E316" s="6"/>
      <c r="F316" s="14"/>
      <c r="G316" s="6"/>
      <c r="H316" s="6"/>
      <c r="I316" s="6"/>
      <c r="J316" s="6"/>
      <c r="K316" s="7"/>
      <c r="N316"/>
      <c r="O316"/>
      <c r="P316"/>
      <c r="Q316"/>
      <c r="R316"/>
      <c r="S316"/>
      <c r="T316"/>
      <c r="U316"/>
      <c r="V316"/>
    </row>
    <row r="317" spans="1:22" s="1" customFormat="1">
      <c r="A317" s="8"/>
      <c r="B317" s="6"/>
      <c r="C317" s="6"/>
      <c r="D317" s="6"/>
      <c r="E317" s="6"/>
      <c r="F317" s="14"/>
      <c r="G317" s="56"/>
      <c r="H317" s="6"/>
      <c r="I317" s="6"/>
      <c r="J317" s="6"/>
      <c r="K317" s="7"/>
      <c r="N317"/>
      <c r="O317"/>
      <c r="P317"/>
      <c r="Q317"/>
      <c r="R317"/>
      <c r="S317"/>
      <c r="T317"/>
      <c r="U317"/>
      <c r="V317"/>
    </row>
    <row r="318" spans="1:22" s="1" customFormat="1" ht="16.2">
      <c r="A318" s="8"/>
      <c r="B318" s="6"/>
      <c r="C318" s="6"/>
      <c r="D318" s="6"/>
      <c r="E318" s="13" t="s">
        <v>49</v>
      </c>
      <c r="F318" s="14" t="s">
        <v>0</v>
      </c>
      <c r="G318" s="21">
        <f>(-$G$313/2)+SQRT((($G$313/2)^2)-$G$315)</f>
        <v>0.56860253710872755</v>
      </c>
      <c r="H318" s="6" t="s">
        <v>1</v>
      </c>
      <c r="I318" s="6"/>
      <c r="J318" s="6"/>
      <c r="K318" s="7"/>
      <c r="N318"/>
      <c r="O318"/>
      <c r="P318"/>
      <c r="Q318"/>
      <c r="R318"/>
      <c r="S318"/>
      <c r="T318"/>
      <c r="U318"/>
      <c r="V318"/>
    </row>
    <row r="319" spans="1:22" ht="16.2">
      <c r="A319" s="8"/>
      <c r="B319" s="6"/>
      <c r="C319" s="6"/>
      <c r="D319" s="6"/>
      <c r="E319" s="13" t="s">
        <v>50</v>
      </c>
      <c r="F319" s="14" t="s">
        <v>0</v>
      </c>
      <c r="G319" s="56">
        <f>(-$G$313/2)-SQRT((($G$313/2)^2)-$G$315)</f>
        <v>-6.2348347497171988</v>
      </c>
      <c r="H319" s="6" t="s">
        <v>1</v>
      </c>
      <c r="I319" s="121" t="s">
        <v>113</v>
      </c>
      <c r="J319" s="6"/>
      <c r="K319" s="7"/>
    </row>
    <row r="320" spans="1:22" s="1" customFormat="1">
      <c r="A320" s="8"/>
      <c r="B320" s="6"/>
      <c r="C320" s="6"/>
      <c r="D320" s="6"/>
      <c r="E320" s="13"/>
      <c r="F320" s="14"/>
      <c r="G320" s="56"/>
      <c r="H320" s="6"/>
      <c r="I320" s="58"/>
      <c r="J320" s="6"/>
      <c r="K320" s="7"/>
      <c r="N320"/>
      <c r="O320"/>
      <c r="P320"/>
      <c r="Q320"/>
      <c r="R320"/>
      <c r="S320"/>
      <c r="T320"/>
      <c r="U320"/>
      <c r="V320"/>
    </row>
    <row r="321" spans="1:11">
      <c r="A321" s="8"/>
      <c r="B321" s="6"/>
      <c r="C321" s="6"/>
      <c r="D321" s="6"/>
      <c r="E321" s="6"/>
      <c r="F321" s="6"/>
      <c r="G321" s="6"/>
      <c r="H321" s="6"/>
      <c r="I321" s="6"/>
      <c r="J321" s="6"/>
      <c r="K321" s="7"/>
    </row>
    <row r="322" spans="1:11">
      <c r="A322" s="8"/>
      <c r="B322" s="14" t="s">
        <v>46</v>
      </c>
      <c r="C322" s="150" t="s">
        <v>115</v>
      </c>
      <c r="D322" s="150"/>
      <c r="E322" s="150"/>
      <c r="F322" s="150"/>
      <c r="G322" s="150"/>
      <c r="H322" s="150"/>
      <c r="I322" s="150"/>
      <c r="J322" s="6"/>
      <c r="K322" s="7"/>
    </row>
    <row r="323" spans="1:11">
      <c r="A323" s="8"/>
      <c r="B323" s="6"/>
      <c r="C323" s="6"/>
      <c r="D323" s="6"/>
      <c r="E323" s="6"/>
      <c r="F323" s="6"/>
      <c r="G323" s="6"/>
      <c r="H323" s="6"/>
      <c r="I323" s="6"/>
      <c r="J323" s="6"/>
      <c r="K323" s="7"/>
    </row>
    <row r="324" spans="1:11">
      <c r="A324" s="8"/>
      <c r="B324" s="14" t="s">
        <v>51</v>
      </c>
      <c r="C324" s="20" t="s">
        <v>116</v>
      </c>
      <c r="D324" s="6"/>
      <c r="E324" s="6"/>
      <c r="F324" s="6"/>
      <c r="G324" s="6"/>
      <c r="H324" s="6"/>
      <c r="I324" s="6"/>
      <c r="J324" s="6"/>
      <c r="K324" s="7"/>
    </row>
    <row r="325" spans="1:11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1"/>
    </row>
    <row r="326" spans="1:11" s="1" customFormat="1">
      <c r="A326" s="8"/>
      <c r="B326" s="6"/>
      <c r="C326" s="6"/>
      <c r="D326" s="6"/>
      <c r="E326" s="6"/>
      <c r="F326" s="6"/>
      <c r="G326" s="6"/>
      <c r="H326" s="6"/>
      <c r="I326" s="6"/>
      <c r="J326" s="6"/>
      <c r="K326" s="7"/>
    </row>
    <row r="327" spans="1:11">
      <c r="A327" s="142" t="s">
        <v>120</v>
      </c>
      <c r="B327" s="143"/>
      <c r="C327" s="143"/>
      <c r="D327" s="143"/>
      <c r="E327" s="34"/>
      <c r="F327" s="34"/>
      <c r="G327" s="34"/>
      <c r="H327" s="34"/>
      <c r="I327" s="6"/>
      <c r="J327" s="6"/>
      <c r="K327" s="7"/>
    </row>
    <row r="328" spans="1:11">
      <c r="A328" s="8"/>
      <c r="B328" s="6"/>
      <c r="C328" s="6"/>
      <c r="D328" s="6"/>
      <c r="E328" s="6"/>
      <c r="F328" s="6"/>
      <c r="G328" s="6"/>
      <c r="H328" s="6"/>
      <c r="I328" s="6"/>
      <c r="J328" s="6"/>
      <c r="K328" s="7"/>
    </row>
    <row r="329" spans="1:11">
      <c r="A329" s="8"/>
      <c r="B329" s="31" t="s">
        <v>121</v>
      </c>
      <c r="C329" s="6"/>
      <c r="D329" s="6"/>
      <c r="E329" s="6"/>
      <c r="F329" s="6"/>
      <c r="G329" s="6"/>
      <c r="H329" s="6"/>
      <c r="I329" s="6"/>
      <c r="J329" s="6"/>
      <c r="K329" s="7"/>
    </row>
    <row r="330" spans="1:11">
      <c r="A330" s="8"/>
      <c r="B330" s="6"/>
      <c r="C330" s="6"/>
      <c r="D330" s="6"/>
      <c r="E330" s="6"/>
      <c r="F330" s="6"/>
      <c r="G330" s="6"/>
      <c r="H330" s="6"/>
      <c r="I330" s="6"/>
      <c r="J330" s="6"/>
      <c r="K330" s="7"/>
    </row>
    <row r="331" spans="1:11">
      <c r="A331" s="8"/>
      <c r="B331" s="6"/>
      <c r="C331" s="6"/>
      <c r="D331" s="6"/>
      <c r="E331" s="6"/>
      <c r="F331" s="6"/>
      <c r="G331" s="6"/>
      <c r="H331" s="6"/>
      <c r="I331" s="6"/>
      <c r="J331" s="6"/>
      <c r="K331" s="7"/>
    </row>
    <row r="332" spans="1:11">
      <c r="A332" s="8"/>
      <c r="B332" s="6"/>
      <c r="C332" s="6"/>
      <c r="D332" s="6"/>
      <c r="E332" s="6"/>
      <c r="F332" s="6"/>
      <c r="G332" s="6"/>
      <c r="H332" s="6"/>
      <c r="I332" s="6"/>
      <c r="J332" s="6"/>
      <c r="K332" s="7"/>
    </row>
    <row r="333" spans="1:11">
      <c r="A333" s="8"/>
      <c r="B333" s="6"/>
      <c r="C333" s="6"/>
      <c r="D333" s="6"/>
      <c r="E333" s="6"/>
      <c r="F333" s="6"/>
      <c r="G333" s="6"/>
      <c r="H333" s="6"/>
      <c r="I333" s="6"/>
      <c r="J333" s="6"/>
      <c r="K333" s="7"/>
    </row>
    <row r="334" spans="1:11">
      <c r="A334" s="8"/>
      <c r="B334" s="6"/>
      <c r="C334" s="6" t="s">
        <v>122</v>
      </c>
      <c r="D334" s="6"/>
      <c r="E334" s="6"/>
      <c r="F334" s="6"/>
      <c r="G334" s="6"/>
      <c r="H334" s="6"/>
      <c r="I334" s="6"/>
      <c r="J334" s="6"/>
      <c r="K334" s="7"/>
    </row>
    <row r="335" spans="1:11">
      <c r="A335" s="8"/>
      <c r="B335" s="6"/>
      <c r="D335" s="6"/>
      <c r="E335" s="6"/>
      <c r="F335" s="6"/>
      <c r="G335" s="6"/>
      <c r="H335" s="6"/>
      <c r="I335" s="6"/>
      <c r="J335" s="6"/>
      <c r="K335" s="7"/>
    </row>
    <row r="336" spans="1:11">
      <c r="A336" s="8"/>
      <c r="B336" s="6"/>
      <c r="C336" s="6"/>
      <c r="D336" s="6"/>
      <c r="E336" s="6"/>
      <c r="F336" s="6"/>
      <c r="G336" s="6"/>
      <c r="H336" s="6"/>
      <c r="I336" s="6"/>
      <c r="J336" s="6"/>
      <c r="K336" s="7"/>
    </row>
    <row r="337" spans="1:11">
      <c r="A337" s="8"/>
      <c r="B337" s="6"/>
      <c r="C337" s="6"/>
      <c r="D337" s="6"/>
      <c r="E337" s="6"/>
      <c r="F337" s="6"/>
      <c r="G337" s="64" t="s">
        <v>117</v>
      </c>
      <c r="H337" s="64" t="s">
        <v>118</v>
      </c>
      <c r="I337" s="64" t="s">
        <v>117</v>
      </c>
      <c r="J337" s="64" t="s">
        <v>118</v>
      </c>
      <c r="K337" s="7"/>
    </row>
    <row r="338" spans="1:11" ht="16.2">
      <c r="A338" s="8"/>
      <c r="B338" s="6"/>
      <c r="C338" s="6"/>
      <c r="D338" s="35" t="s">
        <v>35</v>
      </c>
      <c r="E338" s="35" t="s">
        <v>42</v>
      </c>
      <c r="F338" s="35" t="s">
        <v>12</v>
      </c>
      <c r="G338" s="35" t="s">
        <v>54</v>
      </c>
      <c r="H338" s="35" t="s">
        <v>54</v>
      </c>
      <c r="I338" s="35" t="s">
        <v>53</v>
      </c>
      <c r="J338" s="35" t="s">
        <v>53</v>
      </c>
      <c r="K338" s="7"/>
    </row>
    <row r="339" spans="1:11">
      <c r="A339" s="8"/>
      <c r="B339" s="6"/>
      <c r="C339" s="6"/>
      <c r="D339" s="36" t="s">
        <v>1</v>
      </c>
      <c r="E339" s="36" t="s">
        <v>1</v>
      </c>
      <c r="F339" s="36" t="s">
        <v>14</v>
      </c>
      <c r="G339" s="36" t="s">
        <v>55</v>
      </c>
      <c r="H339" s="36" t="s">
        <v>55</v>
      </c>
      <c r="I339" s="36" t="s">
        <v>52</v>
      </c>
      <c r="J339" s="36" t="s">
        <v>52</v>
      </c>
      <c r="K339" s="7"/>
    </row>
    <row r="340" spans="1:11">
      <c r="A340" s="8"/>
      <c r="B340" s="6"/>
      <c r="C340" s="6"/>
      <c r="D340" s="45">
        <f>ROUND(D236,2)</f>
        <v>0.42</v>
      </c>
      <c r="E340" s="45">
        <f>ROUND(G236,2)</f>
        <v>0.39</v>
      </c>
      <c r="F340" s="45">
        <f>ROUND(I236,2)</f>
        <v>6.26</v>
      </c>
      <c r="G340" s="83">
        <f>(8/SQRT(1000))*($H$33/(($H$33-1000)*9.81))*((1000*9.81*E340*($J$41/1000)-0.047*($H$33-1000)*9.81*($H$89/100))^(3/2))</f>
        <v>7.0573568806244261E-4</v>
      </c>
      <c r="H340" s="59" t="s">
        <v>10</v>
      </c>
      <c r="I340" s="62" t="s">
        <v>58</v>
      </c>
      <c r="J340" s="59" t="s">
        <v>10</v>
      </c>
      <c r="K340" s="7"/>
    </row>
    <row r="341" spans="1:11">
      <c r="A341" s="8"/>
      <c r="B341" s="6"/>
      <c r="C341" s="6"/>
      <c r="D341" s="51">
        <f>ROUND(D237,2)</f>
        <v>0.5</v>
      </c>
      <c r="E341" s="51">
        <f>ROUND(G237,2)</f>
        <v>0.46</v>
      </c>
      <c r="F341" s="51">
        <f>ROUND(I237,2)</f>
        <v>8.4</v>
      </c>
      <c r="G341" s="61">
        <f t="shared" ref="G341:G351" si="13">(8/SQRT(1000))*($H$33/(($H$33-1000)*9.81))*((1000*9.81*E341*($J$41/1000)-0.047*($H$33-1000)*9.81*($H$89/100))^(3/2))</f>
        <v>0.12841775686854612</v>
      </c>
      <c r="H341" s="60" t="s">
        <v>10</v>
      </c>
      <c r="I341" s="61">
        <f>G341*$H$25</f>
        <v>1.5410130824225534</v>
      </c>
      <c r="J341" s="60" t="s">
        <v>10</v>
      </c>
      <c r="K341" s="7"/>
    </row>
    <row r="342" spans="1:11">
      <c r="A342" s="8"/>
      <c r="B342" s="6"/>
      <c r="C342" s="6"/>
      <c r="D342" s="51">
        <f>ROUND(D238,2)</f>
        <v>0.56999999999999995</v>
      </c>
      <c r="E342" s="51">
        <f>ROUND(G238,2)</f>
        <v>0.52</v>
      </c>
      <c r="F342" s="51">
        <f>ROUND(I238,2)</f>
        <v>10.49</v>
      </c>
      <c r="G342" s="61">
        <f t="shared" si="13"/>
        <v>0.31802541172798693</v>
      </c>
      <c r="H342" s="61">
        <f t="shared" ref="H342:H348" si="14">(8/SQRT(1000))*($H$33/(($H$33-1000)*9.81))*((1000*9.81*E342*($J$41/1000)-0.047*($H$33-1000)*9.81*($H$91/100))^(3/2))</f>
        <v>1.0865511719455061E-3</v>
      </c>
      <c r="I342" s="61">
        <f t="shared" ref="I342:I348" si="15">G342*$H$25</f>
        <v>3.8163049407358431</v>
      </c>
      <c r="J342" s="62" t="s">
        <v>58</v>
      </c>
      <c r="K342" s="7"/>
    </row>
    <row r="343" spans="1:11">
      <c r="A343" s="8"/>
      <c r="B343" s="6"/>
      <c r="C343" s="6"/>
      <c r="D343" s="51">
        <f>ROUND(D239,2)</f>
        <v>0.7</v>
      </c>
      <c r="E343" s="51">
        <f>ROUND(G239,2)</f>
        <v>0.62</v>
      </c>
      <c r="F343" s="51">
        <f>ROUND(I239,2)</f>
        <v>14.82</v>
      </c>
      <c r="G343" s="61">
        <f t="shared" si="13"/>
        <v>0.74011956769717968</v>
      </c>
      <c r="H343" s="61">
        <f t="shared" si="14"/>
        <v>0.21858690432338504</v>
      </c>
      <c r="I343" s="61">
        <f t="shared" si="15"/>
        <v>8.8814348123661553</v>
      </c>
      <c r="J343" s="61">
        <f t="shared" ref="J343:J348" si="16">H343*$H$25</f>
        <v>2.6230428518806206</v>
      </c>
      <c r="K343" s="7"/>
    </row>
    <row r="344" spans="1:11">
      <c r="A344" s="8"/>
      <c r="B344" s="6"/>
      <c r="C344" s="6"/>
      <c r="D344" s="88">
        <v>1.09958848711957</v>
      </c>
      <c r="E344" s="89">
        <f t="shared" ref="E344:E353" si="17">ROUND(G242,2)</f>
        <v>0.93</v>
      </c>
      <c r="F344" s="89">
        <f t="shared" ref="F344:F353" si="18">ROUND(I242,2)</f>
        <v>32</v>
      </c>
      <c r="G344" s="59">
        <f t="shared" si="13"/>
        <v>2.6403873507188309</v>
      </c>
      <c r="H344" s="59">
        <f t="shared" si="14"/>
        <v>1.7550657051230263</v>
      </c>
      <c r="I344" s="125">
        <f t="shared" si="15"/>
        <v>31.684648208625973</v>
      </c>
      <c r="J344" s="125">
        <f t="shared" si="16"/>
        <v>21.060788461476314</v>
      </c>
      <c r="K344" s="7"/>
    </row>
    <row r="345" spans="1:11">
      <c r="A345" s="8"/>
      <c r="B345" s="6"/>
      <c r="C345" s="6"/>
      <c r="D345" s="90">
        <v>0.8351889301978126</v>
      </c>
      <c r="E345" s="56">
        <f t="shared" si="17"/>
        <v>0.73</v>
      </c>
      <c r="F345" s="56">
        <f t="shared" si="18"/>
        <v>20</v>
      </c>
      <c r="G345" s="60">
        <f t="shared" si="13"/>
        <v>1.3239862891639453</v>
      </c>
      <c r="H345" s="60">
        <f t="shared" si="14"/>
        <v>0.65003644668336513</v>
      </c>
      <c r="I345" s="61">
        <f t="shared" si="15"/>
        <v>15.887835469967344</v>
      </c>
      <c r="J345" s="61">
        <f t="shared" si="16"/>
        <v>7.800437360200382</v>
      </c>
      <c r="K345" s="7"/>
    </row>
    <row r="346" spans="1:11">
      <c r="A346" s="8"/>
      <c r="B346" s="6"/>
      <c r="C346" s="6"/>
      <c r="D346" s="90">
        <v>0.70498685964026908</v>
      </c>
      <c r="E346" s="56">
        <f t="shared" si="17"/>
        <v>0.63</v>
      </c>
      <c r="F346" s="56">
        <f t="shared" si="18"/>
        <v>15</v>
      </c>
      <c r="G346" s="60">
        <f t="shared" si="13"/>
        <v>0.78843152516053927</v>
      </c>
      <c r="H346" s="60">
        <f t="shared" si="14"/>
        <v>0.2511805272406033</v>
      </c>
      <c r="I346" s="61">
        <f t="shared" si="15"/>
        <v>9.4611783019264717</v>
      </c>
      <c r="J346" s="61">
        <f t="shared" si="16"/>
        <v>3.0141663268872394</v>
      </c>
      <c r="K346" s="7"/>
    </row>
    <row r="347" spans="1:11">
      <c r="A347" s="8"/>
      <c r="B347" s="6"/>
      <c r="C347" s="6"/>
      <c r="D347" s="90">
        <v>0.64786255001032722</v>
      </c>
      <c r="E347" s="56">
        <f t="shared" si="17"/>
        <v>0.57999999999999996</v>
      </c>
      <c r="F347" s="56">
        <f t="shared" si="18"/>
        <v>13</v>
      </c>
      <c r="G347" s="60">
        <f t="shared" si="13"/>
        <v>0.55740110482637861</v>
      </c>
      <c r="H347" s="60">
        <f t="shared" si="14"/>
        <v>0.10456326282955028</v>
      </c>
      <c r="I347" s="61">
        <f t="shared" si="15"/>
        <v>6.6888132579165429</v>
      </c>
      <c r="J347" s="61">
        <f t="shared" si="16"/>
        <v>1.2547591539546032</v>
      </c>
      <c r="K347" s="7"/>
    </row>
    <row r="348" spans="1:11">
      <c r="A348" s="8"/>
      <c r="B348" s="6"/>
      <c r="C348" s="6"/>
      <c r="D348" s="90">
        <v>0.58688020349648773</v>
      </c>
      <c r="E348" s="56">
        <f t="shared" si="17"/>
        <v>0.53</v>
      </c>
      <c r="F348" s="56">
        <f t="shared" si="18"/>
        <v>11</v>
      </c>
      <c r="G348" s="60">
        <f t="shared" si="13"/>
        <v>0.35476985876680694</v>
      </c>
      <c r="H348" s="60">
        <f t="shared" si="14"/>
        <v>9.8012920690493787E-3</v>
      </c>
      <c r="I348" s="61">
        <f t="shared" si="15"/>
        <v>4.2572383052016836</v>
      </c>
      <c r="J348" s="61">
        <f t="shared" si="16"/>
        <v>0.11761550482859254</v>
      </c>
      <c r="K348" s="7"/>
    </row>
    <row r="349" spans="1:11">
      <c r="A349" s="8"/>
      <c r="B349" s="6"/>
      <c r="C349" s="6"/>
      <c r="D349" s="90">
        <v>0.55465175519604815</v>
      </c>
      <c r="E349" s="56">
        <f t="shared" si="17"/>
        <v>0.51</v>
      </c>
      <c r="F349" s="56">
        <f t="shared" si="18"/>
        <v>10</v>
      </c>
      <c r="G349" s="60">
        <f t="shared" si="13"/>
        <v>0.2826451932908205</v>
      </c>
      <c r="H349" s="60" t="s">
        <v>10</v>
      </c>
      <c r="I349" s="61">
        <f>G349*$H$25</f>
        <v>3.3917423194898459</v>
      </c>
      <c r="J349" s="60" t="s">
        <v>10</v>
      </c>
      <c r="K349" s="7"/>
    </row>
    <row r="350" spans="1:11">
      <c r="A350" s="8"/>
      <c r="B350" s="6"/>
      <c r="C350" s="6"/>
      <c r="D350" s="90">
        <v>0.50366681096853594</v>
      </c>
      <c r="E350" s="56">
        <f t="shared" si="17"/>
        <v>0.46</v>
      </c>
      <c r="F350" s="56">
        <f t="shared" si="18"/>
        <v>8.5</v>
      </c>
      <c r="G350" s="60">
        <f t="shared" si="13"/>
        <v>0.12841775686854612</v>
      </c>
      <c r="H350" s="60" t="s">
        <v>10</v>
      </c>
      <c r="I350" s="61">
        <f t="shared" ref="I350:I352" si="19">G350*$H$25</f>
        <v>1.5410130824225534</v>
      </c>
      <c r="J350" s="60" t="s">
        <v>10</v>
      </c>
      <c r="K350" s="7"/>
    </row>
    <row r="351" spans="1:11">
      <c r="A351" s="8"/>
      <c r="B351" s="6"/>
      <c r="C351" s="6"/>
      <c r="D351" s="90">
        <v>0.46757583792199459</v>
      </c>
      <c r="E351" s="56">
        <f t="shared" si="17"/>
        <v>0.43</v>
      </c>
      <c r="F351" s="56">
        <f t="shared" si="18"/>
        <v>7.5</v>
      </c>
      <c r="G351" s="60">
        <f t="shared" si="13"/>
        <v>5.7425974321228611E-2</v>
      </c>
      <c r="H351" s="60" t="s">
        <v>10</v>
      </c>
      <c r="I351" s="61">
        <f t="shared" si="19"/>
        <v>0.6891116918547433</v>
      </c>
      <c r="J351" s="60" t="s">
        <v>10</v>
      </c>
      <c r="K351" s="7"/>
    </row>
    <row r="352" spans="1:11">
      <c r="A352" s="8"/>
      <c r="B352" s="6"/>
      <c r="C352" s="6"/>
      <c r="D352" s="90">
        <v>0.42943666956189741</v>
      </c>
      <c r="E352" s="56">
        <f t="shared" si="17"/>
        <v>0.4</v>
      </c>
      <c r="F352" s="56">
        <f t="shared" si="18"/>
        <v>6.5</v>
      </c>
      <c r="G352" s="60">
        <f>(8/SQRT(1000))*($H$33/(($H$33-1000)*9.81))*((1000*9.81*E352*($J$41/1000)-0.047*($H$33-1000)*9.81*($H$89/100))^(3/2))</f>
        <v>8.9654570742746503E-3</v>
      </c>
      <c r="H352" s="60" t="s">
        <v>10</v>
      </c>
      <c r="I352" s="61">
        <f t="shared" si="19"/>
        <v>0.1075854848912958</v>
      </c>
      <c r="J352" s="60" t="s">
        <v>10</v>
      </c>
      <c r="K352" s="7"/>
    </row>
    <row r="353" spans="1:11">
      <c r="A353" s="8"/>
      <c r="B353" s="6"/>
      <c r="C353" s="6"/>
      <c r="D353" s="91">
        <v>0.40945834899498185</v>
      </c>
      <c r="E353" s="92">
        <f t="shared" si="17"/>
        <v>0.38</v>
      </c>
      <c r="F353" s="92">
        <f t="shared" si="18"/>
        <v>6</v>
      </c>
      <c r="G353" s="126" t="s">
        <v>10</v>
      </c>
      <c r="H353" s="126" t="s">
        <v>10</v>
      </c>
      <c r="I353" s="126" t="s">
        <v>10</v>
      </c>
      <c r="J353" s="126" t="s">
        <v>10</v>
      </c>
      <c r="K353" s="7"/>
    </row>
    <row r="354" spans="1:11" s="1" customFormat="1">
      <c r="A354" s="8"/>
      <c r="B354" s="6"/>
      <c r="C354" s="6"/>
      <c r="D354" s="56"/>
      <c r="E354" s="56"/>
      <c r="F354" s="56"/>
      <c r="G354" s="86"/>
      <c r="H354" s="86"/>
      <c r="I354" s="87"/>
      <c r="J354" s="87"/>
      <c r="K354" s="7"/>
    </row>
    <row r="355" spans="1:11" s="1" customFormat="1">
      <c r="A355" s="8"/>
      <c r="B355" s="6"/>
      <c r="C355" s="6"/>
      <c r="D355" s="56"/>
      <c r="E355" s="56"/>
      <c r="F355" s="56"/>
      <c r="G355" s="86"/>
      <c r="H355" s="86"/>
      <c r="I355" s="87"/>
      <c r="J355" s="87"/>
      <c r="K355" s="7"/>
    </row>
    <row r="356" spans="1:11" s="1" customFormat="1">
      <c r="A356" s="8"/>
      <c r="B356" s="6"/>
      <c r="C356" s="6"/>
      <c r="D356" s="56"/>
      <c r="E356" s="56"/>
      <c r="F356" s="56"/>
      <c r="G356" s="86"/>
      <c r="H356" s="86"/>
      <c r="I356" s="87"/>
      <c r="J356" s="87"/>
      <c r="K356" s="7"/>
    </row>
    <row r="357" spans="1:11">
      <c r="A357" s="8"/>
      <c r="B357" s="122" t="s">
        <v>123</v>
      </c>
      <c r="C357" s="6"/>
      <c r="D357" s="6"/>
      <c r="E357" s="6"/>
      <c r="F357" s="6"/>
      <c r="G357" s="6"/>
      <c r="H357" s="6"/>
      <c r="I357" s="6"/>
      <c r="J357" s="6"/>
      <c r="K357" s="7"/>
    </row>
    <row r="358" spans="1:11">
      <c r="A358" s="8"/>
      <c r="B358" s="6"/>
      <c r="C358" s="6"/>
      <c r="D358" s="6"/>
      <c r="E358" s="6"/>
      <c r="F358" s="6"/>
      <c r="G358" s="6"/>
      <c r="H358" s="6"/>
      <c r="I358" s="6"/>
      <c r="J358" s="6"/>
      <c r="K358" s="7"/>
    </row>
    <row r="359" spans="1:11">
      <c r="A359" s="8"/>
      <c r="B359" s="6"/>
      <c r="C359" s="6"/>
      <c r="D359" s="6"/>
      <c r="E359" s="6"/>
      <c r="F359" s="6"/>
      <c r="G359" s="6"/>
      <c r="H359" s="6"/>
      <c r="I359" s="6"/>
      <c r="J359" s="6"/>
      <c r="K359" s="7"/>
    </row>
    <row r="360" spans="1:11">
      <c r="A360" s="8"/>
      <c r="B360" s="6"/>
      <c r="C360" s="6"/>
      <c r="D360" s="6"/>
      <c r="E360" s="6"/>
      <c r="F360" s="6"/>
      <c r="G360" s="6"/>
      <c r="H360" s="6"/>
      <c r="I360" s="6"/>
      <c r="J360" s="6"/>
      <c r="K360" s="7"/>
    </row>
    <row r="361" spans="1:11">
      <c r="A361" s="8"/>
      <c r="B361" s="6"/>
      <c r="C361" s="6"/>
      <c r="D361" s="6"/>
      <c r="E361" s="6"/>
      <c r="F361" s="6"/>
      <c r="G361" s="6"/>
      <c r="H361" s="6"/>
      <c r="I361" s="6"/>
      <c r="J361" s="6"/>
      <c r="K361" s="7"/>
    </row>
    <row r="362" spans="1:11">
      <c r="A362" s="8"/>
      <c r="B362" s="6"/>
      <c r="C362" s="6"/>
      <c r="D362" s="6"/>
      <c r="E362" s="6"/>
      <c r="F362" s="6"/>
      <c r="G362" s="6"/>
      <c r="H362" s="6"/>
      <c r="I362" s="6"/>
      <c r="J362" s="6"/>
      <c r="K362" s="7"/>
    </row>
    <row r="363" spans="1:11">
      <c r="A363" s="8"/>
      <c r="B363" s="6"/>
      <c r="C363" s="6"/>
      <c r="D363" s="6"/>
      <c r="E363" s="6"/>
      <c r="F363" s="6"/>
      <c r="G363" s="6"/>
      <c r="H363" s="6"/>
      <c r="I363" s="6"/>
      <c r="J363" s="6"/>
      <c r="K363" s="7"/>
    </row>
    <row r="364" spans="1:11">
      <c r="A364" s="8"/>
      <c r="B364" s="6"/>
      <c r="C364" s="6"/>
      <c r="D364" s="6"/>
      <c r="E364" s="6"/>
      <c r="F364" s="6"/>
      <c r="G364" s="6"/>
      <c r="H364" s="6"/>
      <c r="I364" s="6"/>
      <c r="J364" s="6"/>
      <c r="K364" s="7"/>
    </row>
    <row r="365" spans="1:11">
      <c r="A365" s="8"/>
      <c r="B365" s="6"/>
      <c r="C365" s="6"/>
      <c r="D365" s="6"/>
      <c r="E365" s="6"/>
      <c r="F365" s="6"/>
      <c r="G365" s="6"/>
      <c r="H365" s="6"/>
      <c r="I365" s="6"/>
      <c r="J365" s="6"/>
      <c r="K365" s="7"/>
    </row>
    <row r="366" spans="1:11">
      <c r="A366" s="8"/>
      <c r="B366" s="6"/>
      <c r="C366" s="6"/>
      <c r="D366" s="6"/>
      <c r="E366" s="6"/>
      <c r="F366" s="6"/>
      <c r="G366" s="6"/>
      <c r="H366" s="6"/>
      <c r="I366" s="6"/>
      <c r="J366" s="6"/>
      <c r="K366" s="7"/>
    </row>
    <row r="367" spans="1:11">
      <c r="A367" s="8"/>
      <c r="B367" s="6"/>
      <c r="C367" s="6"/>
      <c r="D367" s="6"/>
      <c r="E367" s="6"/>
      <c r="F367" s="6"/>
      <c r="G367" s="6"/>
      <c r="H367" s="6"/>
      <c r="I367" s="6"/>
      <c r="J367" s="6"/>
      <c r="K367" s="7"/>
    </row>
    <row r="368" spans="1:11">
      <c r="A368" s="8"/>
      <c r="B368" s="6"/>
      <c r="C368" s="6"/>
      <c r="D368" s="6"/>
      <c r="E368" s="6"/>
      <c r="F368" s="6"/>
      <c r="G368" s="6"/>
      <c r="H368" s="6"/>
      <c r="I368" s="6"/>
      <c r="J368" s="6"/>
      <c r="K368" s="7"/>
    </row>
    <row r="369" spans="1:11">
      <c r="A369" s="8"/>
      <c r="B369" s="6"/>
      <c r="C369" s="6"/>
      <c r="D369" s="6"/>
      <c r="E369" s="6"/>
      <c r="F369" s="6"/>
      <c r="G369" s="6"/>
      <c r="H369" s="6"/>
      <c r="I369" s="6"/>
      <c r="J369" s="6"/>
      <c r="K369" s="7"/>
    </row>
    <row r="370" spans="1:11">
      <c r="A370" s="8"/>
      <c r="B370" s="6"/>
      <c r="C370" s="6"/>
      <c r="D370" s="6"/>
      <c r="E370" s="6"/>
      <c r="F370" s="6"/>
      <c r="G370" s="6"/>
      <c r="H370" s="6"/>
      <c r="I370" s="6"/>
      <c r="J370" s="6"/>
      <c r="K370" s="7"/>
    </row>
    <row r="371" spans="1:11">
      <c r="A371" s="8"/>
      <c r="B371" s="6"/>
      <c r="C371" s="6"/>
      <c r="D371" s="6"/>
      <c r="E371" s="6"/>
      <c r="F371" s="6"/>
      <c r="G371" s="6"/>
      <c r="H371" s="6"/>
      <c r="I371" s="6"/>
      <c r="J371" s="6"/>
      <c r="K371" s="7"/>
    </row>
    <row r="372" spans="1:11">
      <c r="A372" s="8"/>
      <c r="B372" s="6"/>
      <c r="C372" s="6"/>
      <c r="D372" s="6"/>
      <c r="E372" s="6"/>
      <c r="F372" s="6"/>
      <c r="G372" s="6"/>
      <c r="H372" s="6"/>
      <c r="I372" s="6"/>
      <c r="J372" s="6"/>
      <c r="K372" s="7"/>
    </row>
    <row r="373" spans="1:11">
      <c r="A373" s="8"/>
      <c r="B373" s="6"/>
      <c r="C373" s="6"/>
      <c r="D373" s="6"/>
      <c r="E373" s="6"/>
      <c r="F373" s="6"/>
      <c r="G373" s="6"/>
      <c r="H373" s="6"/>
      <c r="I373" s="6"/>
      <c r="J373" s="6"/>
      <c r="K373" s="7"/>
    </row>
    <row r="374" spans="1:11">
      <c r="A374" s="8"/>
      <c r="B374" s="6"/>
      <c r="C374" s="6"/>
      <c r="D374" s="6"/>
      <c r="E374" s="6"/>
      <c r="F374" s="6"/>
      <c r="G374" s="6"/>
      <c r="H374" s="6"/>
      <c r="I374" s="6"/>
      <c r="J374" s="6"/>
      <c r="K374" s="7"/>
    </row>
    <row r="375" spans="1:11">
      <c r="A375" s="8"/>
      <c r="B375" s="6"/>
      <c r="C375" s="6"/>
      <c r="D375" s="6"/>
      <c r="E375" s="6"/>
      <c r="F375" s="6"/>
      <c r="G375" s="6"/>
      <c r="H375" s="6"/>
      <c r="I375" s="6"/>
      <c r="J375" s="6"/>
      <c r="K375" s="7"/>
    </row>
    <row r="376" spans="1:11">
      <c r="A376" s="8"/>
      <c r="B376" s="6"/>
      <c r="C376" s="6"/>
      <c r="D376" s="6"/>
      <c r="E376" s="6"/>
      <c r="F376" s="6"/>
      <c r="G376" s="6"/>
      <c r="H376" s="6"/>
      <c r="I376" s="6"/>
      <c r="J376" s="6"/>
      <c r="K376" s="7"/>
    </row>
    <row r="377" spans="1:11">
      <c r="A377" s="8"/>
      <c r="B377" s="6"/>
      <c r="C377" s="6"/>
      <c r="D377" s="6"/>
      <c r="E377" s="6"/>
      <c r="F377" s="6"/>
      <c r="G377" s="6"/>
      <c r="H377" s="6"/>
      <c r="I377" s="6"/>
      <c r="J377" s="6"/>
      <c r="K377" s="77"/>
    </row>
    <row r="378" spans="1:11">
      <c r="A378" s="8"/>
      <c r="B378" s="6"/>
      <c r="C378" s="6"/>
      <c r="D378" s="6"/>
      <c r="E378" s="6"/>
      <c r="F378" s="6"/>
      <c r="G378" s="6"/>
      <c r="H378" s="6"/>
      <c r="I378" s="6"/>
      <c r="J378" s="6"/>
      <c r="K378" s="77"/>
    </row>
    <row r="379" spans="1:11">
      <c r="A379" s="8"/>
      <c r="B379" s="6"/>
      <c r="C379" s="6"/>
      <c r="D379" s="6"/>
      <c r="E379" s="6"/>
      <c r="F379" s="6"/>
      <c r="G379" s="6"/>
      <c r="H379" s="6"/>
      <c r="I379" s="6"/>
      <c r="J379" s="6"/>
      <c r="K379" s="77"/>
    </row>
    <row r="380" spans="1:11">
      <c r="A380" s="8"/>
      <c r="B380" s="6"/>
      <c r="C380" s="6"/>
      <c r="D380" s="6"/>
      <c r="E380" s="6"/>
      <c r="F380" s="6"/>
      <c r="G380" s="6"/>
      <c r="H380" s="6"/>
      <c r="I380" s="6"/>
      <c r="J380" s="6"/>
      <c r="K380" s="77"/>
    </row>
    <row r="381" spans="1:11">
      <c r="A381" s="8"/>
      <c r="B381" s="6"/>
      <c r="C381" s="6"/>
      <c r="D381" s="6"/>
      <c r="E381" s="6"/>
      <c r="F381" s="6"/>
      <c r="G381" s="6"/>
      <c r="H381" s="6"/>
      <c r="I381" s="6"/>
      <c r="J381" s="6"/>
      <c r="K381" s="77"/>
    </row>
    <row r="382" spans="1:11">
      <c r="A382" s="8"/>
      <c r="B382" s="6"/>
      <c r="C382" s="6"/>
      <c r="D382" s="6"/>
      <c r="E382" s="6"/>
      <c r="F382" s="6"/>
      <c r="G382" s="6"/>
      <c r="H382" s="6"/>
      <c r="I382" s="6"/>
      <c r="J382" s="6"/>
      <c r="K382" s="77"/>
    </row>
    <row r="383" spans="1:11">
      <c r="A383" s="8"/>
      <c r="B383" s="6"/>
      <c r="C383" s="6"/>
      <c r="D383" s="6"/>
      <c r="E383" s="6"/>
      <c r="F383" s="6"/>
      <c r="G383" s="6"/>
      <c r="H383" s="6"/>
      <c r="I383" s="6"/>
      <c r="J383" s="6"/>
      <c r="K383" s="77"/>
    </row>
    <row r="384" spans="1:11">
      <c r="A384" s="8"/>
      <c r="B384" s="6"/>
      <c r="C384" s="6"/>
      <c r="D384" s="6"/>
      <c r="E384" s="6"/>
      <c r="F384" s="6"/>
      <c r="G384" s="6"/>
      <c r="H384" s="6"/>
      <c r="I384" s="6"/>
      <c r="J384" s="6"/>
      <c r="K384" s="77"/>
    </row>
    <row r="385" spans="1:11">
      <c r="A385" s="8"/>
      <c r="B385" s="6"/>
      <c r="C385" s="6"/>
      <c r="D385" s="6"/>
      <c r="E385" s="6"/>
      <c r="F385" s="6"/>
      <c r="G385" s="6"/>
      <c r="H385" s="6"/>
      <c r="I385" s="6"/>
      <c r="J385" s="6"/>
      <c r="K385" s="77"/>
    </row>
    <row r="386" spans="1:11">
      <c r="A386" s="8"/>
      <c r="B386" s="6"/>
      <c r="C386" s="6"/>
      <c r="D386" s="6"/>
      <c r="E386" s="6"/>
      <c r="F386" s="6"/>
      <c r="G386" s="6"/>
      <c r="H386" s="6"/>
      <c r="I386" s="6"/>
      <c r="J386" s="6"/>
      <c r="K386" s="77"/>
    </row>
    <row r="387" spans="1:11" ht="15.6">
      <c r="A387" s="8"/>
      <c r="B387" s="31" t="s">
        <v>119</v>
      </c>
      <c r="C387" s="6"/>
      <c r="D387" s="6"/>
      <c r="E387" s="6"/>
      <c r="F387" s="6"/>
      <c r="G387" s="6"/>
      <c r="H387" s="6"/>
      <c r="I387" s="6"/>
      <c r="J387" s="6"/>
      <c r="K387" s="77"/>
    </row>
    <row r="388" spans="1:11">
      <c r="A388" s="8"/>
      <c r="B388" s="6"/>
      <c r="C388" s="6"/>
      <c r="D388" s="6"/>
      <c r="E388" s="6"/>
      <c r="F388" s="6"/>
      <c r="G388" s="6"/>
      <c r="H388" s="6"/>
      <c r="I388" s="6"/>
      <c r="J388" s="6"/>
      <c r="K388" s="77"/>
    </row>
    <row r="389" spans="1:11" ht="16.2">
      <c r="A389" s="8"/>
      <c r="B389" s="6"/>
      <c r="C389" s="127" t="s">
        <v>92</v>
      </c>
      <c r="D389" s="35" t="s">
        <v>12</v>
      </c>
      <c r="E389" s="35" t="s">
        <v>60</v>
      </c>
      <c r="F389" s="35" t="s">
        <v>60</v>
      </c>
      <c r="G389" s="35" t="s">
        <v>53</v>
      </c>
      <c r="H389" s="35" t="s">
        <v>126</v>
      </c>
      <c r="I389" s="35" t="s">
        <v>61</v>
      </c>
      <c r="J389" s="6"/>
      <c r="K389" s="77"/>
    </row>
    <row r="390" spans="1:11">
      <c r="A390" s="8"/>
      <c r="B390" s="6"/>
      <c r="C390" s="36" t="s">
        <v>62</v>
      </c>
      <c r="D390" s="36" t="s">
        <v>14</v>
      </c>
      <c r="E390" s="36" t="s">
        <v>13</v>
      </c>
      <c r="F390" s="36" t="s">
        <v>63</v>
      </c>
      <c r="G390" s="36" t="s">
        <v>52</v>
      </c>
      <c r="H390" s="36" t="s">
        <v>52</v>
      </c>
      <c r="I390" s="36" t="s">
        <v>64</v>
      </c>
      <c r="J390" s="6"/>
      <c r="K390" s="77"/>
    </row>
    <row r="391" spans="1:11">
      <c r="A391" s="8"/>
      <c r="B391" s="6"/>
      <c r="C391" s="27">
        <v>1</v>
      </c>
      <c r="D391" s="23">
        <v>32</v>
      </c>
      <c r="E391" s="65">
        <v>1</v>
      </c>
      <c r="F391" s="66">
        <f>E391*24*60*60</f>
        <v>86400</v>
      </c>
      <c r="G391" s="67">
        <v>31.684999999999999</v>
      </c>
      <c r="H391" s="27"/>
      <c r="I391" s="66">
        <f>G391*F391/1000</f>
        <v>2737.5839999999998</v>
      </c>
      <c r="J391" s="6"/>
      <c r="K391" s="77"/>
    </row>
    <row r="392" spans="1:11">
      <c r="A392" s="8"/>
      <c r="B392" s="6"/>
      <c r="C392" s="28">
        <v>3</v>
      </c>
      <c r="D392" s="24">
        <v>20</v>
      </c>
      <c r="E392" s="68">
        <v>2</v>
      </c>
      <c r="F392" s="69">
        <f t="shared" ref="F392:F400" si="20">E392*24*60*60</f>
        <v>172800</v>
      </c>
      <c r="G392" s="63">
        <v>15.773</v>
      </c>
      <c r="H392" s="61">
        <f>(G391+G392)/2</f>
        <v>23.728999999999999</v>
      </c>
      <c r="I392" s="69">
        <f>H392*F392/1000</f>
        <v>4100.3711999999996</v>
      </c>
      <c r="J392" s="6"/>
      <c r="K392" s="77"/>
    </row>
    <row r="393" spans="1:11">
      <c r="A393" s="8"/>
      <c r="B393" s="6"/>
      <c r="C393" s="28">
        <v>5</v>
      </c>
      <c r="D393" s="24">
        <v>15</v>
      </c>
      <c r="E393" s="68">
        <v>2</v>
      </c>
      <c r="F393" s="69">
        <f t="shared" si="20"/>
        <v>172800</v>
      </c>
      <c r="G393" s="63">
        <v>9.2309999999999999</v>
      </c>
      <c r="H393" s="61">
        <f>(G392+G393)/2</f>
        <v>12.501999999999999</v>
      </c>
      <c r="I393" s="69">
        <f t="shared" ref="I393:I399" si="21">H393*F393/1000</f>
        <v>2160.3455999999996</v>
      </c>
      <c r="J393" s="6"/>
      <c r="K393" s="77"/>
    </row>
    <row r="394" spans="1:11">
      <c r="A394" s="8"/>
      <c r="B394" s="6"/>
      <c r="C394" s="28">
        <v>7</v>
      </c>
      <c r="D394" s="24">
        <v>13</v>
      </c>
      <c r="E394" s="68">
        <v>2</v>
      </c>
      <c r="F394" s="69">
        <f t="shared" si="20"/>
        <v>172800</v>
      </c>
      <c r="G394" s="63">
        <v>6.7789999999999999</v>
      </c>
      <c r="H394" s="61">
        <f t="shared" ref="H394:H399" si="22">(G393+G394)/2</f>
        <v>8.004999999999999</v>
      </c>
      <c r="I394" s="69">
        <f t="shared" si="21"/>
        <v>1383.2639999999997</v>
      </c>
      <c r="J394" s="6"/>
      <c r="K394" s="77"/>
    </row>
    <row r="395" spans="1:11">
      <c r="A395" s="8"/>
      <c r="B395" s="6"/>
      <c r="C395" s="28">
        <v>10</v>
      </c>
      <c r="D395" s="24">
        <v>11</v>
      </c>
      <c r="E395" s="68">
        <v>3</v>
      </c>
      <c r="F395" s="69">
        <f t="shared" si="20"/>
        <v>259200</v>
      </c>
      <c r="G395" s="63">
        <v>4.3879999999999999</v>
      </c>
      <c r="H395" s="61">
        <f t="shared" si="22"/>
        <v>5.5834999999999999</v>
      </c>
      <c r="I395" s="69">
        <f t="shared" si="21"/>
        <v>1447.2431999999999</v>
      </c>
      <c r="J395" s="6"/>
      <c r="K395" s="77"/>
    </row>
    <row r="396" spans="1:11">
      <c r="A396" s="8"/>
      <c r="B396" s="6"/>
      <c r="C396" s="28">
        <v>13</v>
      </c>
      <c r="D396" s="24">
        <v>10</v>
      </c>
      <c r="E396" s="68">
        <v>3</v>
      </c>
      <c r="F396" s="69">
        <f t="shared" si="20"/>
        <v>259200</v>
      </c>
      <c r="G396" s="63">
        <v>3.1989999999999998</v>
      </c>
      <c r="H396" s="61">
        <f t="shared" si="22"/>
        <v>3.7934999999999999</v>
      </c>
      <c r="I396" s="69">
        <f t="shared" si="21"/>
        <v>983.27519999999993</v>
      </c>
      <c r="J396" s="6"/>
      <c r="K396" s="77"/>
    </row>
    <row r="397" spans="1:11">
      <c r="A397" s="8"/>
      <c r="B397" s="6"/>
      <c r="C397" s="28">
        <v>20</v>
      </c>
      <c r="D397" s="24">
        <v>8.5</v>
      </c>
      <c r="E397" s="68">
        <v>7</v>
      </c>
      <c r="F397" s="69">
        <f t="shared" si="20"/>
        <v>604800</v>
      </c>
      <c r="G397" s="63">
        <v>1.7430000000000001</v>
      </c>
      <c r="H397" s="61">
        <f t="shared" si="22"/>
        <v>2.4710000000000001</v>
      </c>
      <c r="I397" s="69">
        <f t="shared" si="21"/>
        <v>1494.4608000000001</v>
      </c>
      <c r="J397" s="6"/>
      <c r="K397" s="77"/>
    </row>
    <row r="398" spans="1:11">
      <c r="A398" s="8"/>
      <c r="B398" s="6"/>
      <c r="C398" s="28">
        <v>30</v>
      </c>
      <c r="D398" s="24">
        <v>7.5</v>
      </c>
      <c r="E398" s="68">
        <v>10</v>
      </c>
      <c r="F398" s="69">
        <f t="shared" si="20"/>
        <v>864000</v>
      </c>
      <c r="G398" s="63">
        <v>0.79800000000000004</v>
      </c>
      <c r="H398" s="61">
        <f t="shared" si="22"/>
        <v>1.2705000000000002</v>
      </c>
      <c r="I398" s="69">
        <f t="shared" si="21"/>
        <v>1097.7120000000002</v>
      </c>
      <c r="J398" s="6"/>
      <c r="K398" s="77"/>
    </row>
    <row r="399" spans="1:11">
      <c r="A399" s="8"/>
      <c r="B399" s="6"/>
      <c r="C399" s="28">
        <v>40</v>
      </c>
      <c r="D399" s="24">
        <v>6.5</v>
      </c>
      <c r="E399" s="68">
        <v>10</v>
      </c>
      <c r="F399" s="69">
        <f t="shared" si="20"/>
        <v>864000</v>
      </c>
      <c r="G399" s="63">
        <v>0.14799999999999999</v>
      </c>
      <c r="H399" s="61">
        <f t="shared" si="22"/>
        <v>0.47300000000000003</v>
      </c>
      <c r="I399" s="69">
        <f t="shared" si="21"/>
        <v>408.67200000000003</v>
      </c>
      <c r="J399" s="6"/>
      <c r="K399" s="77"/>
    </row>
    <row r="400" spans="1:11">
      <c r="A400" s="8"/>
      <c r="B400" s="6"/>
      <c r="C400" s="70">
        <v>43.6</v>
      </c>
      <c r="D400" s="71">
        <v>6.32</v>
      </c>
      <c r="E400" s="71">
        <v>3.6</v>
      </c>
      <c r="F400" s="72">
        <f t="shared" si="20"/>
        <v>311040</v>
      </c>
      <c r="G400" s="73">
        <v>0</v>
      </c>
      <c r="H400" s="74">
        <f>(G399+G400)/2</f>
        <v>7.3999999999999996E-2</v>
      </c>
      <c r="I400" s="72">
        <f>H400*F400/1000</f>
        <v>23.016959999999997</v>
      </c>
      <c r="J400" s="6"/>
      <c r="K400" s="77"/>
    </row>
    <row r="401" spans="1:11">
      <c r="A401" s="8"/>
      <c r="B401" s="6"/>
      <c r="C401" s="6"/>
      <c r="D401" s="6"/>
      <c r="E401" s="6"/>
      <c r="F401" s="6"/>
      <c r="G401" s="6"/>
      <c r="H401" s="78" t="s">
        <v>65</v>
      </c>
      <c r="I401" s="75">
        <f>SUM(I391:I400)</f>
        <v>15835.944959999999</v>
      </c>
      <c r="J401" s="6"/>
      <c r="K401" s="77"/>
    </row>
    <row r="402" spans="1:11">
      <c r="A402" s="8"/>
      <c r="B402" s="6"/>
      <c r="C402" s="6"/>
      <c r="D402" s="6"/>
      <c r="E402" s="6"/>
      <c r="F402" s="6"/>
      <c r="G402" s="6"/>
      <c r="H402" s="6"/>
      <c r="I402" s="6"/>
      <c r="J402" s="6"/>
      <c r="K402" s="77"/>
    </row>
    <row r="403" spans="1:11">
      <c r="A403" s="8"/>
      <c r="B403" s="6"/>
      <c r="C403" s="6"/>
      <c r="D403" s="6"/>
      <c r="E403" s="6"/>
      <c r="F403" s="6"/>
      <c r="G403" s="6"/>
      <c r="H403" s="6"/>
      <c r="I403" s="6"/>
      <c r="J403" s="6"/>
      <c r="K403" s="77"/>
    </row>
    <row r="404" spans="1:11" ht="15.6">
      <c r="A404" s="8"/>
      <c r="B404" s="31" t="s">
        <v>124</v>
      </c>
      <c r="C404" s="6"/>
      <c r="D404" s="6"/>
      <c r="E404" s="6"/>
      <c r="F404" s="6"/>
      <c r="G404" s="6"/>
      <c r="H404" s="6"/>
      <c r="I404" s="6"/>
      <c r="J404" s="6"/>
      <c r="K404" s="77"/>
    </row>
    <row r="405" spans="1:11">
      <c r="A405" s="8"/>
      <c r="B405" s="6"/>
      <c r="C405" s="6"/>
      <c r="D405" s="6"/>
      <c r="E405" s="6"/>
      <c r="F405" s="6"/>
      <c r="G405" s="6"/>
      <c r="H405" s="6"/>
      <c r="I405" s="6"/>
      <c r="J405" s="6"/>
      <c r="K405" s="77"/>
    </row>
    <row r="406" spans="1:11" ht="16.2">
      <c r="A406" s="8"/>
      <c r="B406" s="6"/>
      <c r="C406" s="127" t="s">
        <v>92</v>
      </c>
      <c r="D406" s="35" t="s">
        <v>12</v>
      </c>
      <c r="E406" s="35" t="s">
        <v>60</v>
      </c>
      <c r="F406" s="35" t="s">
        <v>60</v>
      </c>
      <c r="G406" s="35" t="s">
        <v>53</v>
      </c>
      <c r="H406" s="35" t="s">
        <v>126</v>
      </c>
      <c r="I406" s="35" t="s">
        <v>61</v>
      </c>
      <c r="J406" s="6"/>
      <c r="K406" s="77"/>
    </row>
    <row r="407" spans="1:11">
      <c r="A407" s="8"/>
      <c r="B407" s="6"/>
      <c r="C407" s="36" t="s">
        <v>62</v>
      </c>
      <c r="D407" s="36" t="s">
        <v>14</v>
      </c>
      <c r="E407" s="36" t="s">
        <v>13</v>
      </c>
      <c r="F407" s="36" t="s">
        <v>63</v>
      </c>
      <c r="G407" s="36" t="s">
        <v>52</v>
      </c>
      <c r="H407" s="36" t="s">
        <v>52</v>
      </c>
      <c r="I407" s="36" t="s">
        <v>64</v>
      </c>
      <c r="J407" s="6"/>
      <c r="K407" s="77"/>
    </row>
    <row r="408" spans="1:11">
      <c r="A408" s="8"/>
      <c r="B408" s="6"/>
      <c r="C408" s="27">
        <v>1</v>
      </c>
      <c r="D408" s="23">
        <v>32</v>
      </c>
      <c r="E408" s="65">
        <v>1</v>
      </c>
      <c r="F408" s="66">
        <f t="shared" ref="F408:F413" si="23">E408*24*60*60</f>
        <v>86400</v>
      </c>
      <c r="G408" s="67">
        <v>21.056999999999999</v>
      </c>
      <c r="H408" s="27"/>
      <c r="I408" s="66">
        <f>G408*F408/1000</f>
        <v>1819.3247999999999</v>
      </c>
      <c r="J408" s="6"/>
      <c r="K408" s="77"/>
    </row>
    <row r="409" spans="1:11">
      <c r="A409" s="8"/>
      <c r="B409" s="6"/>
      <c r="C409" s="28">
        <v>3</v>
      </c>
      <c r="D409" s="24">
        <v>20</v>
      </c>
      <c r="E409" s="68">
        <v>2</v>
      </c>
      <c r="F409" s="69">
        <f t="shared" si="23"/>
        <v>172800</v>
      </c>
      <c r="G409" s="63">
        <v>7.7210000000000001</v>
      </c>
      <c r="H409" s="61">
        <f>(G408+G409)/2</f>
        <v>14.388999999999999</v>
      </c>
      <c r="I409" s="69">
        <f>H409*F409/1000</f>
        <v>2486.4191999999998</v>
      </c>
      <c r="J409" s="6"/>
      <c r="K409" s="77"/>
    </row>
    <row r="410" spans="1:11">
      <c r="A410" s="8"/>
      <c r="B410" s="6"/>
      <c r="C410" s="28">
        <v>5</v>
      </c>
      <c r="D410" s="24">
        <v>15</v>
      </c>
      <c r="E410" s="68">
        <v>2</v>
      </c>
      <c r="F410" s="69">
        <f t="shared" si="23"/>
        <v>172800</v>
      </c>
      <c r="G410" s="63">
        <v>2.8460000000000001</v>
      </c>
      <c r="H410" s="61">
        <f>(G409+G410)/2</f>
        <v>5.2835000000000001</v>
      </c>
      <c r="I410" s="69">
        <f>H410*F410/1000</f>
        <v>912.98880000000008</v>
      </c>
      <c r="J410" s="6"/>
      <c r="K410" s="77"/>
    </row>
    <row r="411" spans="1:11">
      <c r="A411" s="8"/>
      <c r="B411" s="6"/>
      <c r="C411" s="28">
        <v>7</v>
      </c>
      <c r="D411" s="24">
        <v>13</v>
      </c>
      <c r="E411" s="68">
        <v>2</v>
      </c>
      <c r="F411" s="69">
        <f t="shared" si="23"/>
        <v>172800</v>
      </c>
      <c r="G411" s="63">
        <v>1.423</v>
      </c>
      <c r="H411" s="61">
        <f>(G410+G411)/2</f>
        <v>2.1345000000000001</v>
      </c>
      <c r="I411" s="69">
        <f>H411*F411/1000</f>
        <v>368.84160000000003</v>
      </c>
      <c r="J411" s="6"/>
      <c r="K411" s="77"/>
    </row>
    <row r="412" spans="1:11">
      <c r="A412" s="8"/>
      <c r="B412" s="6"/>
      <c r="C412" s="28">
        <v>10</v>
      </c>
      <c r="D412" s="24">
        <v>11</v>
      </c>
      <c r="E412" s="68">
        <v>3</v>
      </c>
      <c r="F412" s="69">
        <f t="shared" si="23"/>
        <v>259200</v>
      </c>
      <c r="G412" s="63">
        <v>0.26400000000000001</v>
      </c>
      <c r="H412" s="61">
        <f>(G411+G412)/2</f>
        <v>0.84350000000000003</v>
      </c>
      <c r="I412" s="69">
        <f>H412*F412/1000</f>
        <v>218.6352</v>
      </c>
      <c r="J412" s="6"/>
      <c r="K412" s="77"/>
    </row>
    <row r="413" spans="1:11">
      <c r="A413" s="8"/>
      <c r="B413" s="6"/>
      <c r="C413" s="70">
        <v>11.2</v>
      </c>
      <c r="D413" s="76">
        <v>10.6</v>
      </c>
      <c r="E413" s="71">
        <v>1.2</v>
      </c>
      <c r="F413" s="72">
        <f t="shared" si="23"/>
        <v>103679.99999999999</v>
      </c>
      <c r="G413" s="73">
        <v>0</v>
      </c>
      <c r="H413" s="74">
        <f>(G412+G413)/2</f>
        <v>0.13200000000000001</v>
      </c>
      <c r="I413" s="72">
        <f>H413*F413/1000</f>
        <v>13.685759999999998</v>
      </c>
      <c r="J413" s="6"/>
      <c r="K413" s="77"/>
    </row>
    <row r="414" spans="1:11">
      <c r="A414" s="8"/>
      <c r="B414" s="6"/>
      <c r="C414" s="6"/>
      <c r="D414" s="6"/>
      <c r="E414" s="6"/>
      <c r="F414" s="6"/>
      <c r="G414" s="6"/>
      <c r="H414" s="78" t="s">
        <v>65</v>
      </c>
      <c r="I414" s="75">
        <f>SUM(I408:I413)</f>
        <v>5819.8953599999995</v>
      </c>
      <c r="J414" s="6"/>
      <c r="K414" s="77"/>
    </row>
    <row r="415" spans="1:11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79"/>
    </row>
    <row r="416" spans="1:11">
      <c r="A416" s="12"/>
      <c r="B416" s="12"/>
      <c r="C416" s="12"/>
      <c r="D416" s="12"/>
      <c r="E416" s="12"/>
      <c r="F416" s="12"/>
      <c r="G416" s="12"/>
      <c r="H416" s="12"/>
      <c r="I416" s="12"/>
      <c r="J416" s="12"/>
    </row>
    <row r="417" spans="1:10">
      <c r="A417" s="12"/>
      <c r="B417" s="12"/>
      <c r="C417" s="12"/>
      <c r="D417" s="12"/>
      <c r="E417" s="12"/>
      <c r="F417" s="12"/>
      <c r="G417" s="12"/>
      <c r="H417" s="12"/>
      <c r="I417" s="12"/>
      <c r="J417" s="12"/>
    </row>
    <row r="418" spans="1:10">
      <c r="A418" s="12"/>
      <c r="B418" s="12"/>
      <c r="C418" s="12"/>
      <c r="D418" s="12"/>
      <c r="E418" s="12"/>
      <c r="F418" s="12"/>
      <c r="G418" s="12"/>
      <c r="H418" s="12"/>
      <c r="I418" s="12"/>
      <c r="J418" s="12"/>
    </row>
    <row r="419" spans="1:10">
      <c r="A419" s="12"/>
      <c r="B419" s="12"/>
      <c r="C419" s="12"/>
      <c r="D419" s="12"/>
      <c r="E419" s="12"/>
      <c r="F419" s="12"/>
      <c r="G419" s="12"/>
      <c r="H419" s="12"/>
      <c r="I419" s="12"/>
      <c r="J419" s="12"/>
    </row>
    <row r="420" spans="1:10">
      <c r="A420" s="12"/>
      <c r="B420" s="12"/>
      <c r="C420" s="12"/>
      <c r="D420" s="12"/>
      <c r="E420" s="12"/>
      <c r="F420" s="12"/>
      <c r="G420" s="12"/>
      <c r="H420" s="12"/>
      <c r="I420" s="12"/>
      <c r="J420" s="12"/>
    </row>
    <row r="421" spans="1:10">
      <c r="A421" s="12"/>
      <c r="B421" s="12"/>
      <c r="C421" s="12"/>
      <c r="D421" s="12"/>
      <c r="E421" s="12"/>
      <c r="F421" s="12"/>
      <c r="G421" s="12"/>
      <c r="H421" s="12"/>
      <c r="I421" s="12"/>
      <c r="J421" s="12"/>
    </row>
    <row r="422" spans="1:10">
      <c r="A422" s="12"/>
      <c r="B422" s="12"/>
      <c r="C422" s="12"/>
      <c r="D422" s="12"/>
      <c r="E422" s="12"/>
      <c r="F422" s="12"/>
      <c r="G422" s="12"/>
      <c r="H422" s="12"/>
      <c r="I422" s="12"/>
      <c r="J422" s="12"/>
    </row>
    <row r="423" spans="1:10">
      <c r="A423" s="12"/>
      <c r="B423" s="12"/>
      <c r="C423" s="12"/>
      <c r="D423" s="12"/>
      <c r="E423" s="12"/>
      <c r="F423" s="12"/>
      <c r="G423" s="12"/>
      <c r="H423" s="12"/>
      <c r="I423" s="12"/>
      <c r="J423" s="12"/>
    </row>
    <row r="424" spans="1:10">
      <c r="A424" s="12"/>
      <c r="B424" s="12"/>
      <c r="C424" s="12"/>
      <c r="D424" s="12"/>
      <c r="E424" s="12"/>
      <c r="F424" s="12"/>
      <c r="G424" s="12"/>
      <c r="H424" s="12"/>
      <c r="I424" s="12"/>
      <c r="J424" s="12"/>
    </row>
    <row r="425" spans="1:10">
      <c r="A425" s="12"/>
      <c r="B425" s="12"/>
      <c r="C425" s="12"/>
      <c r="D425" s="12"/>
      <c r="E425" s="12"/>
      <c r="F425" s="12"/>
      <c r="G425" s="12"/>
      <c r="H425" s="12"/>
      <c r="I425" s="12"/>
      <c r="J425" s="12"/>
    </row>
    <row r="426" spans="1:10">
      <c r="A426" s="12"/>
      <c r="B426" s="12"/>
      <c r="C426" s="12"/>
      <c r="D426" s="12"/>
      <c r="E426" s="12"/>
      <c r="F426" s="12"/>
      <c r="G426" s="12"/>
      <c r="H426" s="12"/>
      <c r="I426" s="12"/>
      <c r="J426" s="12"/>
    </row>
    <row r="427" spans="1:10">
      <c r="A427" s="12"/>
      <c r="B427" s="12"/>
      <c r="C427" s="12"/>
      <c r="D427" s="12"/>
      <c r="E427" s="12"/>
      <c r="F427" s="12"/>
      <c r="G427" s="12"/>
      <c r="H427" s="12"/>
      <c r="I427" s="12"/>
      <c r="J427" s="12"/>
    </row>
    <row r="428" spans="1:10">
      <c r="A428" s="12"/>
      <c r="B428" s="12"/>
      <c r="C428" s="12"/>
      <c r="D428" s="12"/>
      <c r="E428" s="12"/>
      <c r="F428" s="12"/>
      <c r="G428" s="12"/>
      <c r="H428" s="12"/>
      <c r="I428" s="12"/>
      <c r="J428" s="12"/>
    </row>
  </sheetData>
  <mergeCells count="43">
    <mergeCell ref="C322:I322"/>
    <mergeCell ref="A327:D327"/>
    <mergeCell ref="A215:H215"/>
    <mergeCell ref="C254:I254"/>
    <mergeCell ref="C256:J256"/>
    <mergeCell ref="A1:C2"/>
    <mergeCell ref="D1:K2"/>
    <mergeCell ref="A6:B6"/>
    <mergeCell ref="B142:C142"/>
    <mergeCell ref="B164:C164"/>
    <mergeCell ref="A11:B11"/>
    <mergeCell ref="A23:B23"/>
    <mergeCell ref="A37:B37"/>
    <mergeCell ref="A49:D49"/>
    <mergeCell ref="A3:C4"/>
    <mergeCell ref="D3:K4"/>
    <mergeCell ref="A132:G132"/>
    <mergeCell ref="B135:C136"/>
    <mergeCell ref="D135:G135"/>
    <mergeCell ref="A71:D71"/>
    <mergeCell ref="A94:C94"/>
    <mergeCell ref="G98:I98"/>
    <mergeCell ref="G96:I96"/>
    <mergeCell ref="H135:K135"/>
    <mergeCell ref="D136:E136"/>
    <mergeCell ref="F136:G136"/>
    <mergeCell ref="H136:I136"/>
    <mergeCell ref="J136:K136"/>
    <mergeCell ref="B137:C137"/>
    <mergeCell ref="B138:C138"/>
    <mergeCell ref="B139:C139"/>
    <mergeCell ref="D137:E137"/>
    <mergeCell ref="D138:E138"/>
    <mergeCell ref="D139:E139"/>
    <mergeCell ref="F137:G137"/>
    <mergeCell ref="F138:G138"/>
    <mergeCell ref="F139:G139"/>
    <mergeCell ref="H137:I137"/>
    <mergeCell ref="J137:K137"/>
    <mergeCell ref="H138:I138"/>
    <mergeCell ref="J138:K138"/>
    <mergeCell ref="H139:I139"/>
    <mergeCell ref="J139:K139"/>
  </mergeCells>
  <pageMargins left="0.7" right="0.7" top="0.78740157499999996" bottom="0.78740157499999996" header="0.3" footer="0.3"/>
  <pageSetup paperSize="9" scale="69" fitToHeight="0" orientation="portrait" r:id="rId1"/>
  <ignoredErrors>
    <ignoredError sqref="G238" formula="1"/>
  </ignoredErrors>
  <drawing r:id="rId2"/>
  <legacyDrawing r:id="rId3"/>
  <oleObjects>
    <mc:AlternateContent xmlns:mc="http://schemas.openxmlformats.org/markup-compatibility/2006">
      <mc:Choice Requires="x14">
        <oleObject progId="Equation.DSMT4" shapeId="1030" r:id="rId4">
          <objectPr defaultSize="0" autoPict="0" r:id="rId5">
            <anchor moveWithCells="1">
              <from>
                <xdr:col>3</xdr:col>
                <xdr:colOff>7620</xdr:colOff>
                <xdr:row>143</xdr:row>
                <xdr:rowOff>30480</xdr:rowOff>
              </from>
              <to>
                <xdr:col>5</xdr:col>
                <xdr:colOff>381000</xdr:colOff>
                <xdr:row>145</xdr:row>
                <xdr:rowOff>182880</xdr:rowOff>
              </to>
            </anchor>
          </objectPr>
        </oleObject>
      </mc:Choice>
      <mc:Fallback>
        <oleObject progId="Equation.DSMT4" shapeId="1030" r:id="rId4"/>
      </mc:Fallback>
    </mc:AlternateContent>
    <mc:AlternateContent xmlns:mc="http://schemas.openxmlformats.org/markup-compatibility/2006">
      <mc:Choice Requires="x14">
        <oleObject progId="Equation.DSMT4" shapeId="1031" r:id="rId6">
          <objectPr defaultSize="0" autoPict="0" r:id="rId7">
            <anchor moveWithCells="1">
              <from>
                <xdr:col>7</xdr:col>
                <xdr:colOff>0</xdr:colOff>
                <xdr:row>142</xdr:row>
                <xdr:rowOff>0</xdr:rowOff>
              </from>
              <to>
                <xdr:col>9</xdr:col>
                <xdr:colOff>274320</xdr:colOff>
                <xdr:row>147</xdr:row>
                <xdr:rowOff>0</xdr:rowOff>
              </to>
            </anchor>
          </objectPr>
        </oleObject>
      </mc:Choice>
      <mc:Fallback>
        <oleObject progId="Equation.DSMT4" shapeId="1031" r:id="rId6"/>
      </mc:Fallback>
    </mc:AlternateContent>
    <mc:AlternateContent xmlns:mc="http://schemas.openxmlformats.org/markup-compatibility/2006">
      <mc:Choice Requires="x14">
        <oleObject progId="Equation.DSMT4" shapeId="1032" r:id="rId8">
          <objectPr defaultSize="0" autoPict="0" r:id="rId9">
            <anchor moveWithCells="1">
              <from>
                <xdr:col>3</xdr:col>
                <xdr:colOff>7620</xdr:colOff>
                <xdr:row>164</xdr:row>
                <xdr:rowOff>7620</xdr:rowOff>
              </from>
              <to>
                <xdr:col>7</xdr:col>
                <xdr:colOff>617220</xdr:colOff>
                <xdr:row>176</xdr:row>
                <xdr:rowOff>182880</xdr:rowOff>
              </to>
            </anchor>
          </objectPr>
        </oleObject>
      </mc:Choice>
      <mc:Fallback>
        <oleObject progId="Equation.DSMT4" shapeId="1032" r:id="rId8"/>
      </mc:Fallback>
    </mc:AlternateContent>
    <mc:AlternateContent xmlns:mc="http://schemas.openxmlformats.org/markup-compatibility/2006">
      <mc:Choice Requires="x14">
        <oleObject progId="Equation.DSMT4" shapeId="1033" r:id="rId10">
          <objectPr defaultSize="0" autoPict="0" r:id="rId11">
            <anchor moveWithCells="1">
              <from>
                <xdr:col>4</xdr:col>
                <xdr:colOff>0</xdr:colOff>
                <xdr:row>178</xdr:row>
                <xdr:rowOff>0</xdr:rowOff>
              </from>
              <to>
                <xdr:col>5</xdr:col>
                <xdr:colOff>571500</xdr:colOff>
                <xdr:row>181</xdr:row>
                <xdr:rowOff>121920</xdr:rowOff>
              </to>
            </anchor>
          </objectPr>
        </oleObject>
      </mc:Choice>
      <mc:Fallback>
        <oleObject progId="Equation.DSMT4" shapeId="1033" r:id="rId10"/>
      </mc:Fallback>
    </mc:AlternateContent>
    <mc:AlternateContent xmlns:mc="http://schemas.openxmlformats.org/markup-compatibility/2006">
      <mc:Choice Requires="x14">
        <oleObject progId="Equation.DSMT4" shapeId="1034" r:id="rId12">
          <objectPr defaultSize="0" autoPict="0" r:id="rId13">
            <anchor moveWithCells="1">
              <from>
                <xdr:col>3</xdr:col>
                <xdr:colOff>0</xdr:colOff>
                <xdr:row>184</xdr:row>
                <xdr:rowOff>0</xdr:rowOff>
              </from>
              <to>
                <xdr:col>5</xdr:col>
                <xdr:colOff>0</xdr:colOff>
                <xdr:row>185</xdr:row>
                <xdr:rowOff>182880</xdr:rowOff>
              </to>
            </anchor>
          </objectPr>
        </oleObject>
      </mc:Choice>
      <mc:Fallback>
        <oleObject progId="Equation.DSMT4" shapeId="1034" r:id="rId12"/>
      </mc:Fallback>
    </mc:AlternateContent>
    <mc:AlternateContent xmlns:mc="http://schemas.openxmlformats.org/markup-compatibility/2006">
      <mc:Choice Requires="x14">
        <oleObject progId="Equation.DSMT4" shapeId="1035" r:id="rId14">
          <objectPr defaultSize="0" autoPict="0" r:id="rId5">
            <anchor moveWithCells="1">
              <from>
                <xdr:col>3</xdr:col>
                <xdr:colOff>7620</xdr:colOff>
                <xdr:row>192</xdr:row>
                <xdr:rowOff>30480</xdr:rowOff>
              </from>
              <to>
                <xdr:col>5</xdr:col>
                <xdr:colOff>381000</xdr:colOff>
                <xdr:row>194</xdr:row>
                <xdr:rowOff>182880</xdr:rowOff>
              </to>
            </anchor>
          </objectPr>
        </oleObject>
      </mc:Choice>
      <mc:Fallback>
        <oleObject progId="Equation.DSMT4" shapeId="1035" r:id="rId14"/>
      </mc:Fallback>
    </mc:AlternateContent>
    <mc:AlternateContent xmlns:mc="http://schemas.openxmlformats.org/markup-compatibility/2006">
      <mc:Choice Requires="x14">
        <oleObject progId="Equation.DSMT4" shapeId="1036" r:id="rId15">
          <objectPr defaultSize="0" autoPict="0" r:id="rId16">
            <anchor moveWithCells="1">
              <from>
                <xdr:col>3</xdr:col>
                <xdr:colOff>0</xdr:colOff>
                <xdr:row>218</xdr:row>
                <xdr:rowOff>0</xdr:rowOff>
              </from>
              <to>
                <xdr:col>6</xdr:col>
                <xdr:colOff>45720</xdr:colOff>
                <xdr:row>230</xdr:row>
                <xdr:rowOff>0</xdr:rowOff>
              </to>
            </anchor>
          </objectPr>
        </oleObject>
      </mc:Choice>
      <mc:Fallback>
        <oleObject progId="Equation.DSMT4" shapeId="1036" r:id="rId15"/>
      </mc:Fallback>
    </mc:AlternateContent>
    <mc:AlternateContent xmlns:mc="http://schemas.openxmlformats.org/markup-compatibility/2006">
      <mc:Choice Requires="x14">
        <oleObject progId="Equation.DSMT4" shapeId="1037" r:id="rId17">
          <objectPr defaultSize="0" autoPict="0" r:id="rId18">
            <anchor moveWithCells="1">
              <from>
                <xdr:col>2</xdr:col>
                <xdr:colOff>0</xdr:colOff>
                <xdr:row>256</xdr:row>
                <xdr:rowOff>7620</xdr:rowOff>
              </from>
              <to>
                <xdr:col>6</xdr:col>
                <xdr:colOff>403860</xdr:colOff>
                <xdr:row>272</xdr:row>
                <xdr:rowOff>0</xdr:rowOff>
              </to>
            </anchor>
          </objectPr>
        </oleObject>
      </mc:Choice>
      <mc:Fallback>
        <oleObject progId="Equation.DSMT4" shapeId="1037" r:id="rId17"/>
      </mc:Fallback>
    </mc:AlternateContent>
    <mc:AlternateContent xmlns:mc="http://schemas.openxmlformats.org/markup-compatibility/2006">
      <mc:Choice Requires="x14">
        <oleObject progId="Equation.DSMT4" shapeId="1038" r:id="rId19">
          <objectPr defaultSize="0" autoPict="0" r:id="rId20">
            <anchor moveWithCells="1">
              <from>
                <xdr:col>6</xdr:col>
                <xdr:colOff>693420</xdr:colOff>
                <xdr:row>288</xdr:row>
                <xdr:rowOff>152400</xdr:rowOff>
              </from>
              <to>
                <xdr:col>9</xdr:col>
                <xdr:colOff>457200</xdr:colOff>
                <xdr:row>292</xdr:row>
                <xdr:rowOff>121920</xdr:rowOff>
              </to>
            </anchor>
          </objectPr>
        </oleObject>
      </mc:Choice>
      <mc:Fallback>
        <oleObject progId="Equation.DSMT4" shapeId="1038" r:id="rId19"/>
      </mc:Fallback>
    </mc:AlternateContent>
    <mc:AlternateContent xmlns:mc="http://schemas.openxmlformats.org/markup-compatibility/2006">
      <mc:Choice Requires="x14">
        <oleObject progId="Equation.DSMT4" shapeId="1040" r:id="rId21">
          <objectPr defaultSize="0" autoPict="0" r:id="rId22">
            <anchor moveWithCells="1">
              <from>
                <xdr:col>2</xdr:col>
                <xdr:colOff>502920</xdr:colOff>
                <xdr:row>289</xdr:row>
                <xdr:rowOff>114300</xdr:rowOff>
              </from>
              <to>
                <xdr:col>5</xdr:col>
                <xdr:colOff>30480</xdr:colOff>
                <xdr:row>296</xdr:row>
                <xdr:rowOff>175260</xdr:rowOff>
              </to>
            </anchor>
          </objectPr>
        </oleObject>
      </mc:Choice>
      <mc:Fallback>
        <oleObject progId="Equation.DSMT4" shapeId="1040" r:id="rId21"/>
      </mc:Fallback>
    </mc:AlternateContent>
    <mc:AlternateContent xmlns:mc="http://schemas.openxmlformats.org/markup-compatibility/2006">
      <mc:Choice Requires="x14">
        <oleObject progId="Equation.DSMT4" shapeId="1041" r:id="rId23">
          <objectPr defaultSize="0" autoPict="0" r:id="rId24">
            <anchor moveWithCells="1">
              <from>
                <xdr:col>4</xdr:col>
                <xdr:colOff>106680</xdr:colOff>
                <xdr:row>329</xdr:row>
                <xdr:rowOff>106680</xdr:rowOff>
              </from>
              <to>
                <xdr:col>10</xdr:col>
                <xdr:colOff>220980</xdr:colOff>
                <xdr:row>332</xdr:row>
                <xdr:rowOff>68580</xdr:rowOff>
              </to>
            </anchor>
          </objectPr>
        </oleObject>
      </mc:Choice>
      <mc:Fallback>
        <oleObject progId="Equation.DSMT4" shapeId="1041" r:id="rId23"/>
      </mc:Fallback>
    </mc:AlternateContent>
    <mc:AlternateContent xmlns:mc="http://schemas.openxmlformats.org/markup-compatibility/2006">
      <mc:Choice Requires="x14">
        <oleObject progId="Equation.DSMT4" shapeId="1043" r:id="rId25">
          <objectPr defaultSize="0" autoPict="0" r:id="rId26">
            <anchor moveWithCells="1">
              <from>
                <xdr:col>4</xdr:col>
                <xdr:colOff>45720</xdr:colOff>
                <xdr:row>333</xdr:row>
                <xdr:rowOff>0</xdr:rowOff>
              </from>
              <to>
                <xdr:col>5</xdr:col>
                <xdr:colOff>480060</xdr:colOff>
                <xdr:row>334</xdr:row>
                <xdr:rowOff>83820</xdr:rowOff>
              </to>
            </anchor>
          </objectPr>
        </oleObject>
      </mc:Choice>
      <mc:Fallback>
        <oleObject progId="Equation.DSMT4" shapeId="1043" r:id="rId2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Übung 04 - Flussbau</vt:lpstr>
      <vt:lpstr>'Übung 04 - Flussbau'!Print_Area</vt:lpstr>
      <vt:lpstr>'Übung 04 - Flussbau'!q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Dresden - Arbeit</dc:creator>
  <cp:lastModifiedBy>Khan, Muhammad Adnan</cp:lastModifiedBy>
  <cp:lastPrinted>2022-12-05T14:11:17Z</cp:lastPrinted>
  <dcterms:created xsi:type="dcterms:W3CDTF">2012-06-19T07:05:38Z</dcterms:created>
  <dcterms:modified xsi:type="dcterms:W3CDTF">2025-12-16T11:01:59Z</dcterms:modified>
</cp:coreProperties>
</file>